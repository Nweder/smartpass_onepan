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enicegudino/Desktop/Code/dpp/dpp_app/data/PLS/"/>
    </mc:Choice>
  </mc:AlternateContent>
  <xr:revisionPtr revIDLastSave="0" documentId="13_ncr:1_{C93711FE-8E97-3443-9E98-FF1AA6F2AF3C}" xr6:coauthVersionLast="47" xr6:coauthVersionMax="47" xr10:uidLastSave="{00000000-0000-0000-0000-000000000000}"/>
  <bookViews>
    <workbookView xWindow="-3300" yWindow="-21080" windowWidth="38400" windowHeight="21100" activeTab="2" xr2:uid="{F5499085-62E6-4B04-A4E2-EEF974C52419}"/>
  </bookViews>
  <sheets>
    <sheet name="parameter_metadata" sheetId="4" r:id="rId1"/>
    <sheet name="parameter_metadata_original" sheetId="1" r:id="rId2"/>
    <sheet name="category_metadata" sheetId="2" r:id="rId3"/>
    <sheet name="sub_category_metadata" sheetId="3" r:id="rId4"/>
  </sheets>
  <definedNames>
    <definedName name="_xlnm._FilterDatabase" localSheetId="0" hidden="1">parameter_metadata!$A$1:$K$73</definedName>
    <definedName name="_xlnm._FilterDatabase" localSheetId="1" hidden="1">parameter_metadata_original!$A$1:$K$111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4" l="1"/>
  <c r="B53" i="4" l="1"/>
  <c r="C53" i="4"/>
  <c r="D53" i="4"/>
  <c r="G53" i="4"/>
  <c r="H53" i="4"/>
  <c r="I53" i="4"/>
  <c r="J53" i="4"/>
  <c r="K53" i="4"/>
  <c r="A53" i="4"/>
  <c r="B73" i="4"/>
  <c r="C73" i="4"/>
  <c r="D73" i="4"/>
  <c r="G73" i="4"/>
  <c r="H73" i="4"/>
  <c r="I73" i="4"/>
  <c r="J73" i="4"/>
  <c r="K73" i="4"/>
  <c r="A73" i="4"/>
  <c r="J26" i="4" l="1"/>
  <c r="J22" i="4"/>
  <c r="J21" i="4"/>
  <c r="J72" i="4"/>
  <c r="I71" i="4"/>
  <c r="I72" i="4"/>
  <c r="J109" i="1"/>
  <c r="J71" i="4" s="1"/>
  <c r="F12" i="4" l="1"/>
  <c r="F42" i="4"/>
  <c r="J2" i="4"/>
  <c r="J56" i="4"/>
  <c r="J10" i="4"/>
  <c r="J7" i="4"/>
  <c r="J44" i="1"/>
  <c r="J42" i="1"/>
  <c r="J40" i="1"/>
  <c r="J19" i="4" s="1"/>
  <c r="J33" i="1"/>
  <c r="J16" i="4" s="1"/>
  <c r="J21" i="1"/>
  <c r="J5" i="4" s="1"/>
  <c r="A2" i="4"/>
  <c r="B2" i="4"/>
  <c r="C2" i="4"/>
  <c r="D2" i="4"/>
  <c r="G2" i="4"/>
  <c r="H2" i="4"/>
  <c r="I2" i="4"/>
  <c r="K2" i="4"/>
  <c r="A6" i="4"/>
  <c r="B6" i="4"/>
  <c r="C6" i="4"/>
  <c r="D6" i="4"/>
  <c r="G6" i="4"/>
  <c r="H6" i="4"/>
  <c r="I6" i="4"/>
  <c r="K6" i="4"/>
  <c r="A7" i="4"/>
  <c r="B7" i="4"/>
  <c r="C7" i="4"/>
  <c r="D7" i="4"/>
  <c r="G7" i="4"/>
  <c r="H7" i="4"/>
  <c r="I7" i="4"/>
  <c r="K7" i="4"/>
  <c r="A8" i="4"/>
  <c r="B8" i="4"/>
  <c r="C8" i="4"/>
  <c r="D8" i="4"/>
  <c r="F8" i="4"/>
  <c r="G8" i="4"/>
  <c r="H8" i="4"/>
  <c r="I8" i="4"/>
  <c r="K8" i="4"/>
  <c r="A9" i="4"/>
  <c r="B9" i="4"/>
  <c r="C9" i="4"/>
  <c r="D9" i="4"/>
  <c r="G9" i="4"/>
  <c r="H9" i="4"/>
  <c r="I9" i="4"/>
  <c r="K9" i="4"/>
  <c r="A10" i="4"/>
  <c r="B10" i="4"/>
  <c r="C10" i="4"/>
  <c r="D10" i="4"/>
  <c r="G10" i="4"/>
  <c r="H10" i="4"/>
  <c r="I10" i="4"/>
  <c r="K10" i="4"/>
  <c r="A54" i="4"/>
  <c r="B54" i="4"/>
  <c r="C54" i="4"/>
  <c r="D54" i="4"/>
  <c r="G54" i="4"/>
  <c r="H54" i="4"/>
  <c r="I54" i="4"/>
  <c r="K54" i="4"/>
  <c r="A55" i="4"/>
  <c r="B55" i="4"/>
  <c r="C55" i="4"/>
  <c r="D55" i="4"/>
  <c r="G55" i="4"/>
  <c r="H55" i="4"/>
  <c r="I55" i="4"/>
  <c r="K55" i="4"/>
  <c r="A56" i="4"/>
  <c r="B56" i="4"/>
  <c r="C56" i="4"/>
  <c r="D56" i="4"/>
  <c r="G56" i="4"/>
  <c r="H56" i="4"/>
  <c r="I56" i="4"/>
  <c r="K56" i="4"/>
  <c r="A58" i="4"/>
  <c r="B58" i="4"/>
  <c r="C58" i="4"/>
  <c r="D58" i="4"/>
  <c r="G58" i="4"/>
  <c r="H58" i="4"/>
  <c r="I58" i="4"/>
  <c r="K58" i="4"/>
  <c r="A15" i="4"/>
  <c r="B15" i="4"/>
  <c r="C15" i="4"/>
  <c r="D15" i="4"/>
  <c r="F15" i="4"/>
  <c r="G15" i="4"/>
  <c r="H15" i="4"/>
  <c r="I15" i="4"/>
  <c r="K15" i="4"/>
  <c r="B18" i="4"/>
  <c r="C18" i="4"/>
  <c r="D18" i="4"/>
  <c r="G18" i="4"/>
  <c r="H18" i="4"/>
  <c r="I18" i="4"/>
  <c r="K18" i="4"/>
  <c r="A24" i="4"/>
  <c r="B24" i="4"/>
  <c r="C24" i="4"/>
  <c r="D24" i="4"/>
  <c r="G24" i="4"/>
  <c r="H24" i="4"/>
  <c r="I24" i="4"/>
  <c r="K24" i="4"/>
  <c r="A23" i="4"/>
  <c r="B23" i="4"/>
  <c r="C23" i="4"/>
  <c r="D23" i="4"/>
  <c r="G23" i="4"/>
  <c r="H23" i="4"/>
  <c r="I23" i="4"/>
  <c r="K23" i="4"/>
  <c r="A22" i="4"/>
  <c r="B22" i="4"/>
  <c r="C22" i="4"/>
  <c r="D22" i="4"/>
  <c r="G22" i="4"/>
  <c r="H22" i="4"/>
  <c r="I22" i="4"/>
  <c r="K22" i="4"/>
  <c r="A25" i="4"/>
  <c r="B25" i="4"/>
  <c r="C25" i="4"/>
  <c r="D25" i="4"/>
  <c r="G25" i="4"/>
  <c r="H25" i="4"/>
  <c r="I25" i="4"/>
  <c r="K25" i="4"/>
  <c r="A26" i="4"/>
  <c r="B26" i="4"/>
  <c r="C26" i="4"/>
  <c r="D26" i="4"/>
  <c r="G26" i="4"/>
  <c r="H26" i="4"/>
  <c r="I26" i="4"/>
  <c r="K26" i="4"/>
  <c r="A5" i="4"/>
  <c r="B5" i="4"/>
  <c r="C5" i="4"/>
  <c r="D5" i="4"/>
  <c r="G5" i="4"/>
  <c r="H5" i="4"/>
  <c r="I5" i="4"/>
  <c r="K5" i="4"/>
  <c r="A4" i="4"/>
  <c r="B4" i="4"/>
  <c r="C4" i="4"/>
  <c r="D4" i="4"/>
  <c r="G4" i="4"/>
  <c r="H4" i="4"/>
  <c r="I4" i="4"/>
  <c r="K4" i="4"/>
  <c r="A57" i="4"/>
  <c r="B57" i="4"/>
  <c r="C57" i="4"/>
  <c r="D57" i="4"/>
  <c r="G57" i="4"/>
  <c r="H57" i="4"/>
  <c r="I57" i="4"/>
  <c r="K57" i="4"/>
  <c r="A59" i="4"/>
  <c r="B59" i="4"/>
  <c r="C59" i="4"/>
  <c r="D59" i="4"/>
  <c r="G59" i="4"/>
  <c r="H59" i="4"/>
  <c r="I59" i="4"/>
  <c r="K59" i="4"/>
  <c r="A60" i="4"/>
  <c r="B60" i="4"/>
  <c r="C60" i="4"/>
  <c r="D60" i="4"/>
  <c r="G60" i="4"/>
  <c r="H60" i="4"/>
  <c r="I60" i="4"/>
  <c r="K60" i="4"/>
  <c r="A61" i="4"/>
  <c r="B61" i="4"/>
  <c r="C61" i="4"/>
  <c r="D61" i="4"/>
  <c r="G61" i="4"/>
  <c r="H61" i="4"/>
  <c r="I61" i="4"/>
  <c r="K61" i="4"/>
  <c r="A11" i="4"/>
  <c r="B11" i="4"/>
  <c r="C11" i="4"/>
  <c r="D11" i="4"/>
  <c r="G11" i="4"/>
  <c r="H11" i="4"/>
  <c r="I11" i="4"/>
  <c r="K11" i="4"/>
  <c r="A12" i="4"/>
  <c r="B12" i="4"/>
  <c r="C12" i="4"/>
  <c r="D12" i="4"/>
  <c r="G12" i="4"/>
  <c r="H12" i="4"/>
  <c r="I12" i="4"/>
  <c r="J12" i="4"/>
  <c r="K12" i="4"/>
  <c r="A13" i="4"/>
  <c r="B13" i="4"/>
  <c r="C13" i="4"/>
  <c r="D13" i="4"/>
  <c r="G13" i="4"/>
  <c r="H13" i="4"/>
  <c r="I13" i="4"/>
  <c r="K13" i="4"/>
  <c r="A14" i="4"/>
  <c r="B14" i="4"/>
  <c r="C14" i="4"/>
  <c r="D14" i="4"/>
  <c r="G14" i="4"/>
  <c r="H14" i="4"/>
  <c r="I14" i="4"/>
  <c r="K14" i="4"/>
  <c r="A16" i="4"/>
  <c r="B16" i="4"/>
  <c r="C16" i="4"/>
  <c r="D16" i="4"/>
  <c r="G16" i="4"/>
  <c r="H16" i="4"/>
  <c r="I16" i="4"/>
  <c r="K16" i="4"/>
  <c r="A17" i="4"/>
  <c r="B17" i="4"/>
  <c r="C17" i="4"/>
  <c r="D17" i="4"/>
  <c r="G17" i="4"/>
  <c r="H17" i="4"/>
  <c r="I17" i="4"/>
  <c r="K17" i="4"/>
  <c r="A19" i="4"/>
  <c r="B19" i="4"/>
  <c r="C19" i="4"/>
  <c r="D19" i="4"/>
  <c r="G19" i="4"/>
  <c r="H19" i="4"/>
  <c r="I19" i="4"/>
  <c r="K19" i="4"/>
  <c r="A20" i="4"/>
  <c r="B20" i="4"/>
  <c r="C20" i="4"/>
  <c r="D20" i="4"/>
  <c r="G20" i="4"/>
  <c r="H20" i="4"/>
  <c r="I20" i="4"/>
  <c r="K20" i="4"/>
  <c r="A21" i="4"/>
  <c r="B21" i="4"/>
  <c r="C21" i="4"/>
  <c r="D21" i="4"/>
  <c r="G21" i="4"/>
  <c r="H21" i="4"/>
  <c r="I21" i="4"/>
  <c r="K21" i="4"/>
  <c r="A27" i="4"/>
  <c r="B27" i="4"/>
  <c r="C27" i="4"/>
  <c r="D27" i="4"/>
  <c r="G27" i="4"/>
  <c r="H27" i="4"/>
  <c r="I27" i="4"/>
  <c r="K27" i="4"/>
  <c r="A28" i="4"/>
  <c r="B28" i="4"/>
  <c r="C28" i="4"/>
  <c r="D28" i="4"/>
  <c r="G28" i="4"/>
  <c r="H28" i="4"/>
  <c r="I28" i="4"/>
  <c r="J28" i="4"/>
  <c r="K28" i="4"/>
  <c r="A29" i="4"/>
  <c r="B29" i="4"/>
  <c r="C29" i="4"/>
  <c r="D29" i="4"/>
  <c r="G29" i="4"/>
  <c r="H29" i="4"/>
  <c r="I29" i="4"/>
  <c r="K29" i="4"/>
  <c r="A30" i="4"/>
  <c r="B30" i="4"/>
  <c r="C30" i="4"/>
  <c r="D30" i="4"/>
  <c r="G30" i="4"/>
  <c r="H30" i="4"/>
  <c r="I30" i="4"/>
  <c r="K30" i="4"/>
  <c r="A31" i="4"/>
  <c r="B31" i="4"/>
  <c r="C31" i="4"/>
  <c r="D31" i="4"/>
  <c r="G31" i="4"/>
  <c r="H31" i="4"/>
  <c r="I31" i="4"/>
  <c r="K31" i="4"/>
  <c r="A32" i="4"/>
  <c r="B32" i="4"/>
  <c r="C32" i="4"/>
  <c r="D32" i="4"/>
  <c r="G32" i="4"/>
  <c r="H32" i="4"/>
  <c r="I32" i="4"/>
  <c r="K32" i="4"/>
  <c r="A33" i="4"/>
  <c r="B33" i="4"/>
  <c r="C33" i="4"/>
  <c r="D33" i="4"/>
  <c r="G33" i="4"/>
  <c r="H33" i="4"/>
  <c r="I33" i="4"/>
  <c r="K33" i="4"/>
  <c r="A34" i="4"/>
  <c r="B34" i="4"/>
  <c r="C34" i="4"/>
  <c r="D34" i="4"/>
  <c r="G34" i="4"/>
  <c r="H34" i="4"/>
  <c r="I34" i="4"/>
  <c r="K34" i="4"/>
  <c r="A35" i="4"/>
  <c r="B35" i="4"/>
  <c r="C35" i="4"/>
  <c r="D35" i="4"/>
  <c r="G35" i="4"/>
  <c r="H35" i="4"/>
  <c r="I35" i="4"/>
  <c r="K35" i="4"/>
  <c r="A36" i="4"/>
  <c r="B36" i="4"/>
  <c r="C36" i="4"/>
  <c r="D36" i="4"/>
  <c r="G36" i="4"/>
  <c r="H36" i="4"/>
  <c r="I36" i="4"/>
  <c r="K36" i="4"/>
  <c r="A37" i="4"/>
  <c r="B37" i="4"/>
  <c r="C37" i="4"/>
  <c r="D37" i="4"/>
  <c r="G37" i="4"/>
  <c r="H37" i="4"/>
  <c r="I37" i="4"/>
  <c r="K37" i="4"/>
  <c r="A38" i="4"/>
  <c r="B38" i="4"/>
  <c r="C38" i="4"/>
  <c r="D38" i="4"/>
  <c r="G38" i="4"/>
  <c r="H38" i="4"/>
  <c r="I38" i="4"/>
  <c r="K38" i="4"/>
  <c r="A39" i="4"/>
  <c r="B39" i="4"/>
  <c r="C39" i="4"/>
  <c r="D39" i="4"/>
  <c r="G39" i="4"/>
  <c r="H39" i="4"/>
  <c r="I39" i="4"/>
  <c r="K39" i="4"/>
  <c r="A40" i="4"/>
  <c r="B40" i="4"/>
  <c r="C40" i="4"/>
  <c r="D40" i="4"/>
  <c r="G40" i="4"/>
  <c r="H40" i="4"/>
  <c r="I40" i="4"/>
  <c r="K40" i="4"/>
  <c r="A41" i="4"/>
  <c r="B41" i="4"/>
  <c r="C41" i="4"/>
  <c r="D41" i="4"/>
  <c r="G41" i="4"/>
  <c r="H41" i="4"/>
  <c r="I41" i="4"/>
  <c r="K41" i="4"/>
  <c r="A42" i="4"/>
  <c r="B42" i="4"/>
  <c r="C42" i="4"/>
  <c r="D42" i="4"/>
  <c r="G42" i="4"/>
  <c r="H42" i="4"/>
  <c r="I42" i="4"/>
  <c r="J42" i="4"/>
  <c r="K42" i="4"/>
  <c r="A43" i="4"/>
  <c r="B43" i="4"/>
  <c r="C43" i="4"/>
  <c r="D43" i="4"/>
  <c r="G43" i="4"/>
  <c r="H43" i="4"/>
  <c r="I43" i="4"/>
  <c r="K43" i="4"/>
  <c r="A44" i="4"/>
  <c r="B44" i="4"/>
  <c r="C44" i="4"/>
  <c r="D44" i="4"/>
  <c r="G44" i="4"/>
  <c r="H44" i="4"/>
  <c r="I44" i="4"/>
  <c r="K44" i="4"/>
  <c r="A45" i="4"/>
  <c r="B45" i="4"/>
  <c r="C45" i="4"/>
  <c r="D45" i="4"/>
  <c r="G45" i="4"/>
  <c r="H45" i="4"/>
  <c r="I45" i="4"/>
  <c r="K45" i="4"/>
  <c r="A46" i="4"/>
  <c r="B46" i="4"/>
  <c r="C46" i="4"/>
  <c r="D46" i="4"/>
  <c r="G46" i="4"/>
  <c r="H46" i="4"/>
  <c r="I46" i="4"/>
  <c r="K46" i="4"/>
  <c r="A47" i="4"/>
  <c r="B47" i="4"/>
  <c r="C47" i="4"/>
  <c r="D47" i="4"/>
  <c r="G47" i="4"/>
  <c r="H47" i="4"/>
  <c r="I47" i="4"/>
  <c r="K47" i="4"/>
  <c r="A62" i="4"/>
  <c r="B62" i="4"/>
  <c r="C62" i="4"/>
  <c r="D62" i="4"/>
  <c r="G62" i="4"/>
  <c r="H62" i="4"/>
  <c r="I62" i="4"/>
  <c r="K62" i="4"/>
  <c r="A63" i="4"/>
  <c r="B63" i="4"/>
  <c r="C63" i="4"/>
  <c r="D63" i="4"/>
  <c r="G63" i="4"/>
  <c r="H63" i="4"/>
  <c r="I63" i="4"/>
  <c r="K63" i="4"/>
  <c r="A64" i="4"/>
  <c r="B64" i="4"/>
  <c r="C64" i="4"/>
  <c r="D64" i="4"/>
  <c r="G64" i="4"/>
  <c r="H64" i="4"/>
  <c r="I64" i="4"/>
  <c r="K64" i="4"/>
  <c r="A65" i="4"/>
  <c r="B65" i="4"/>
  <c r="C65" i="4"/>
  <c r="D65" i="4"/>
  <c r="G65" i="4"/>
  <c r="H65" i="4"/>
  <c r="I65" i="4"/>
  <c r="K65" i="4"/>
  <c r="A66" i="4"/>
  <c r="B66" i="4"/>
  <c r="C66" i="4"/>
  <c r="D66" i="4"/>
  <c r="G66" i="4"/>
  <c r="H66" i="4"/>
  <c r="I66" i="4"/>
  <c r="K66" i="4"/>
  <c r="A48" i="4"/>
  <c r="B48" i="4"/>
  <c r="C48" i="4"/>
  <c r="D48" i="4"/>
  <c r="G48" i="4"/>
  <c r="H48" i="4"/>
  <c r="I48" i="4"/>
  <c r="K48" i="4"/>
  <c r="A49" i="4"/>
  <c r="B49" i="4"/>
  <c r="C49" i="4"/>
  <c r="D49" i="4"/>
  <c r="G49" i="4"/>
  <c r="H49" i="4"/>
  <c r="I49" i="4"/>
  <c r="K49" i="4"/>
  <c r="A50" i="4"/>
  <c r="B50" i="4"/>
  <c r="C50" i="4"/>
  <c r="D50" i="4"/>
  <c r="G50" i="4"/>
  <c r="H50" i="4"/>
  <c r="I50" i="4"/>
  <c r="K50" i="4"/>
  <c r="A51" i="4"/>
  <c r="B51" i="4"/>
  <c r="C51" i="4"/>
  <c r="D51" i="4"/>
  <c r="G51" i="4"/>
  <c r="H51" i="4"/>
  <c r="I51" i="4"/>
  <c r="K51" i="4"/>
  <c r="A52" i="4"/>
  <c r="B52" i="4"/>
  <c r="C52" i="4"/>
  <c r="D52" i="4"/>
  <c r="G52" i="4"/>
  <c r="H52" i="4"/>
  <c r="I52" i="4"/>
  <c r="K52" i="4"/>
  <c r="A67" i="4"/>
  <c r="B67" i="4"/>
  <c r="C67" i="4"/>
  <c r="D67" i="4"/>
  <c r="G67" i="4"/>
  <c r="H67" i="4"/>
  <c r="I67" i="4"/>
  <c r="J67" i="4"/>
  <c r="K67" i="4"/>
  <c r="A68" i="4"/>
  <c r="B68" i="4"/>
  <c r="C68" i="4"/>
  <c r="D68" i="4"/>
  <c r="G68" i="4"/>
  <c r="H68" i="4"/>
  <c r="I68" i="4"/>
  <c r="J68" i="4"/>
  <c r="K68" i="4"/>
  <c r="A69" i="4"/>
  <c r="B69" i="4"/>
  <c r="C69" i="4"/>
  <c r="D69" i="4"/>
  <c r="G69" i="4"/>
  <c r="H69" i="4"/>
  <c r="I69" i="4"/>
  <c r="K69" i="4"/>
  <c r="A70" i="4"/>
  <c r="B70" i="4"/>
  <c r="C70" i="4"/>
  <c r="D70" i="4"/>
  <c r="G70" i="4"/>
  <c r="H70" i="4"/>
  <c r="I70" i="4"/>
  <c r="J70" i="4"/>
  <c r="K70" i="4"/>
  <c r="A71" i="4"/>
  <c r="B71" i="4"/>
  <c r="C71" i="4"/>
  <c r="D71" i="4"/>
  <c r="G71" i="4"/>
  <c r="H71" i="4"/>
  <c r="K71" i="4"/>
  <c r="A72" i="4"/>
  <c r="B72" i="4"/>
  <c r="C72" i="4"/>
  <c r="D72" i="4"/>
  <c r="G72" i="4"/>
  <c r="H72" i="4"/>
  <c r="K72" i="4"/>
  <c r="B3" i="4"/>
  <c r="C3" i="4"/>
  <c r="D3" i="4"/>
  <c r="G3" i="4"/>
  <c r="H3" i="4"/>
  <c r="I3" i="4"/>
  <c r="K3" i="4"/>
  <c r="A3" i="4"/>
  <c r="J105" i="1"/>
  <c r="J93" i="1"/>
  <c r="J80" i="1"/>
  <c r="J52" i="1"/>
  <c r="J34" i="4" s="1"/>
  <c r="J46" i="1"/>
  <c r="J45" i="1"/>
  <c r="J27" i="4" s="1"/>
  <c r="B1" i="4" l="1"/>
  <c r="C1" i="4"/>
  <c r="D1" i="4"/>
  <c r="E1" i="4"/>
  <c r="F1" i="4"/>
  <c r="G1" i="4"/>
  <c r="H1" i="4"/>
  <c r="I1" i="4"/>
  <c r="J1" i="4"/>
  <c r="K1" i="4"/>
  <c r="A1" i="4"/>
  <c r="J66" i="1"/>
  <c r="J43" i="4" s="1"/>
  <c r="J67" i="1"/>
  <c r="J68" i="1"/>
  <c r="J44" i="4" s="1"/>
  <c r="J69" i="1"/>
  <c r="J45" i="4" s="1"/>
  <c r="J70" i="1"/>
  <c r="J46" i="4" s="1"/>
  <c r="J71" i="1"/>
  <c r="J72" i="1"/>
  <c r="J73" i="1"/>
  <c r="J47" i="4" s="1"/>
  <c r="J74" i="1"/>
  <c r="J75" i="1"/>
  <c r="J76" i="1"/>
  <c r="J62" i="4" s="1"/>
  <c r="J77" i="1"/>
  <c r="J78" i="1"/>
  <c r="J79" i="1"/>
  <c r="J63" i="4" s="1"/>
  <c r="J81" i="1"/>
  <c r="J64" i="4" s="1"/>
  <c r="J82" i="1"/>
  <c r="J83" i="1"/>
  <c r="J84" i="1"/>
  <c r="J85" i="1"/>
  <c r="J65" i="4" s="1"/>
  <c r="J86" i="1"/>
  <c r="J66" i="4" s="1"/>
  <c r="J87" i="1"/>
  <c r="J48" i="4" s="1"/>
  <c r="J89" i="1"/>
  <c r="J49" i="4" s="1"/>
  <c r="J90" i="1"/>
  <c r="J50" i="4" s="1"/>
  <c r="J91" i="1"/>
  <c r="J92" i="1"/>
  <c r="J51" i="4" s="1"/>
  <c r="J94" i="1"/>
  <c r="J52" i="4" s="1"/>
  <c r="J95" i="1"/>
  <c r="J96" i="1"/>
  <c r="J59" i="1"/>
  <c r="J36" i="4" s="1"/>
  <c r="J61" i="1"/>
  <c r="J38" i="4" s="1"/>
  <c r="J62" i="1"/>
  <c r="J39" i="4" s="1"/>
  <c r="J63" i="1"/>
  <c r="J40" i="4" s="1"/>
  <c r="J64" i="1"/>
  <c r="J41" i="4" s="1"/>
  <c r="J55" i="1"/>
  <c r="J54" i="1"/>
  <c r="J51" i="1"/>
  <c r="J33" i="4" s="1"/>
  <c r="J50" i="1"/>
  <c r="J32" i="4" s="1"/>
  <c r="J49" i="1"/>
  <c r="J31" i="4" s="1"/>
  <c r="J48" i="1"/>
  <c r="J30" i="4" s="1"/>
  <c r="J47" i="1"/>
  <c r="J29" i="4" s="1"/>
  <c r="J41" i="1"/>
  <c r="J20" i="4" s="1"/>
  <c r="J36" i="1"/>
  <c r="J35" i="1"/>
  <c r="J34" i="1"/>
  <c r="J17" i="4" s="1"/>
  <c r="J23" i="1"/>
  <c r="J57" i="4" s="1"/>
  <c r="J25" i="1"/>
  <c r="J60" i="4" s="1"/>
  <c r="J27" i="1"/>
  <c r="J11" i="4" s="1"/>
  <c r="J29" i="1"/>
  <c r="J13" i="4" s="1"/>
  <c r="J30" i="1"/>
  <c r="J14" i="4" s="1"/>
  <c r="J22" i="1"/>
  <c r="J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tc={8F695390-AD14-CB4C-9F71-947D6A90AFF4}</author>
    <author>tc={84C56A96-274D-E140-810F-310AC2CB76F8}</author>
    <author>tc={C2BB9260-1D7B-F341-983C-FBBD75364E84}</author>
    <author>tc={4876BD04-5F03-3B46-B706-F14A971EDCE2}</author>
    <author>tc={A9723485-D98A-1242-BB93-4A957EA417FA}</author>
  </authors>
  <commentList>
    <comment ref="I22" authorId="0" shapeId="0" xr:uid="{8F695390-AD14-CB4C-9F71-947D6A90AFF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battery must be categorised by its intended use in:
- LMT battery;
- electric vehicle battery; or
- industrial battery (stationary battery energy storage system/other industrial batteries).</t>
      </text>
    </comment>
    <comment ref="D23" authorId="1" shapeId="0" xr:uid="{84C56A96-274D-E140-810F-310AC2CB76F8}">
      <text>
        <t>[Threaded comment]
Your version of Excel allows you to read this threaded comment; however, any edits to it will get removed if the file is opened in a newer version of Excel. Learn more: https://go.microsoft.com/fwlink/?linkid=870924
Comment:
     'original', 'repurposed', 'reused', 'remanufactured', 'waste'</t>
      </text>
    </comment>
    <comment ref="I23" authorId="2" shapeId="0" xr:uid="{C2BB9260-1D7B-F341-983C-FBBD75364E84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original’, ‘repurposed’, ‘re-used’, ‘remanufactured’ or ‘waste’</t>
      </text>
    </comment>
    <comment ref="D73" authorId="3" shapeId="0" xr:uid="{4876BD04-5F03-3B46-B706-F14A971EDCE2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 round trip efficiency’ means the ratio of the net energy delivered by a battery during a discharge test to the total energy required to restore the initial State of Charge by a standard charge.</t>
      </text>
    </comment>
    <comment ref="D74" authorId="4" shapeId="0" xr:uid="{A9723485-D98A-1242-BB93-4A957EA417FA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 round trip efficiency’ means the ratio of the net energy delivered by a battery during a discharge test to the total energy required to restore the initial State of Charge by a standard charge.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<sst xmlns="http://schemas.openxmlformats.org/spreadsheetml/2006/main" count="836" uniqueCount="292">
  <si>
    <t>category</t>
  </si>
  <si>
    <t>parameter</t>
  </si>
  <si>
    <t>type</t>
  </si>
  <si>
    <t>DPP Created Timestamp</t>
  </si>
  <si>
    <t>Manufacturing date</t>
  </si>
  <si>
    <t>Product category</t>
  </si>
  <si>
    <t>Original weight</t>
  </si>
  <si>
    <t>Economic operator</t>
  </si>
  <si>
    <t>DPP Update Timestamp</t>
  </si>
  <si>
    <t>DPP Update Reason</t>
  </si>
  <si>
    <t>subparameter</t>
  </si>
  <si>
    <t>sub_category</t>
  </si>
  <si>
    <t>access</t>
  </si>
  <si>
    <t>order_parameter</t>
  </si>
  <si>
    <t>data model definition string</t>
  </si>
  <si>
    <t>icon_category</t>
  </si>
  <si>
    <t>:material/quick_reference_all:</t>
  </si>
  <si>
    <t>:material/recycling:</t>
  </si>
  <si>
    <t>:material/checklist_rtl:</t>
  </si>
  <si>
    <t>:material/footprint:</t>
  </si>
  <si>
    <t>conf_print</t>
  </si>
  <si>
    <t>strings</t>
  </si>
  <si>
    <t>table</t>
  </si>
  <si>
    <t>function_name</t>
  </si>
  <si>
    <t>general_product_and_manufacturer_information</t>
  </si>
  <si>
    <t>circularity_and_resource_efficiency</t>
  </si>
  <si>
    <t>carbon_footprint</t>
  </si>
  <si>
    <t>[Height, Width, Depth]</t>
  </si>
  <si>
    <t>Manufacturing place</t>
  </si>
  <si>
    <t>[City, Address]</t>
  </si>
  <si>
    <t>{"Product ID": {"@type":"gs1:gtin","value": {"@value":"", "@type":"xsd:string"}}}</t>
  </si>
  <si>
    <t>{"DPP Created Timestamp" : {"value":{"@value":"", "@type":"xsd:dateTime"}}}</t>
  </si>
  <si>
    <t>product_updates</t>
  </si>
  <si>
    <t>:material/update:</t>
  </si>
  <si>
    <t>1. General product and manufacturer information</t>
  </si>
  <si>
    <t>3. Carbon footprint</t>
  </si>
  <si>
    <t>6. Circularity and resource efficiency</t>
  </si>
  <si>
    <t>5. Battery Material and composition</t>
  </si>
  <si>
    <t>Manufactured by</t>
  </si>
  <si>
    <t>Dimensions</t>
  </si>
  <si>
    <t>Recycled content [kg]</t>
  </si>
  <si>
    <t>Recycled content [% of original weight]</t>
  </si>
  <si>
    <t>Hazardous substances content</t>
  </si>
  <si>
    <t>The share of renewable content</t>
  </si>
  <si>
    <t>Contact details for spare parts</t>
  </si>
  <si>
    <t>1. General battery and manufacturer information</t>
  </si>
  <si>
    <t>2. Compliance, labels and certifications</t>
  </si>
  <si>
    <t>4. Supply Chain Due Diligence</t>
  </si>
  <si>
    <t>7. Performance</t>
  </si>
  <si>
    <t>8. Durability</t>
  </si>
  <si>
    <t>Battery status</t>
  </si>
  <si>
    <t>Repurposed Pack ID</t>
  </si>
  <si>
    <t>BESS ID</t>
  </si>
  <si>
    <t>Module dimension</t>
  </si>
  <si>
    <t>Module weight</t>
  </si>
  <si>
    <t>Total module weight in pack</t>
  </si>
  <si>
    <t>Results of test reports proving compliance with this Regulation</t>
  </si>
  <si>
    <t>Battery carbon footprint</t>
  </si>
  <si>
    <t>Information of the due diligence report</t>
  </si>
  <si>
    <t>Battery chemistry</t>
  </si>
  <si>
    <t>Safety measures/instructions</t>
  </si>
  <si>
    <t>Rated Capacity</t>
  </si>
  <si>
    <t>Certified Useable Battery Energy BoL</t>
  </si>
  <si>
    <t>Min, Nominal and Max voltage</t>
  </si>
  <si>
    <t>Ratio between nominal battery power and battery energy</t>
  </si>
  <si>
    <t>Initial self-discharging rate</t>
  </si>
  <si>
    <t>Initial internal resistance on cell level</t>
  </si>
  <si>
    <t>Intial round trip energy efficiency</t>
  </si>
  <si>
    <t>State of Charge (SOC)</t>
  </si>
  <si>
    <t>Current Internal resistance (pack)</t>
  </si>
  <si>
    <t>Internal resistance increase (pack)</t>
  </si>
  <si>
    <t>Expected lifetime: Number of charge-discharge cycles</t>
  </si>
  <si>
    <t>C-rate of relevant cycle-life test</t>
  </si>
  <si>
    <t>Warranty period of the battery</t>
  </si>
  <si>
    <t>Results of tests reports</t>
  </si>
  <si>
    <t>Current number of (full) charging and discharging cycles</t>
  </si>
  <si>
    <t>State of Health (SOH)</t>
  </si>
  <si>
    <t>SOH Timestamp</t>
  </si>
  <si>
    <t xml:space="preserve">Expected remaining battery lifetime expressed in cycles </t>
  </si>
  <si>
    <t>Static</t>
  </si>
  <si>
    <t>Dynamic</t>
  </si>
  <si>
    <t>{"Manufacturing date": {"@type":"gs1:productionDateTime", "value": {"@value":"", "@type":"xsd:dateTime"}}}</t>
  </si>
  <si>
    <t>{"Manufactured by": {"@type":"gs1:organizationName", "value": {"@value": "", "@type":"xsd:string"}}}</t>
  </si>
  <si>
    <t>{"Manufacturing place" : {"@type":"gs1:address", "City": {"@type":"gs1:addressLocality", "value":{"@value": "", "@type":"xsd:string"}} , "Address":{"@type":"gs1:streetAddress",  "value":{"@value": "", "@type":"xsd:string"}}}}</t>
  </si>
  <si>
    <t>{"Economic operator" : {"@type":"schema:legalName",  "value": {"@value":"", "@type":"xsd:string"}}}</t>
  </si>
  <si>
    <t>{"DPP Update Reason" :  {"@type":"schema:description", "value":{"@type":"schema:Text", "value": {"@value":"", "@type":"xsd:string"}}}}</t>
  </si>
  <si>
    <t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</si>
  <si>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{"Recycled content [kg]" : {"value":{"@value":"", "@type":"xsd:float", "unitCode":"KGM"}}}</t>
  </si>
  <si>
    <t>{"Recycled content [% of original weight]" : {"value":{"@value":"", "@type":"xsd:float",  "unitCode":"P1"}}}</t>
  </si>
  <si>
    <t>{"The share of renewable content" : {"value":{"@value":"", "@type":"xsd:float"}}}</t>
  </si>
  <si>
    <t>N/A</t>
  </si>
  <si>
    <t>File</t>
  </si>
  <si>
    <t>Replace fuse 2024-09-01</t>
  </si>
  <si>
    <t>example data</t>
  </si>
  <si>
    <t>{"DPP Update Timestamp" : {"@type":"schema:startTime", "value":{"@type":"schema:DateTime", "value": {"@value":"", "@type":"xsd:dateTime"}}}}</t>
  </si>
  <si>
    <t>example data(text)</t>
  </si>
  <si>
    <t>{"Product category" : {"@type":"gs1:brandName", "value":{"@value":"", "@type":"rdf:langString"}}}</t>
  </si>
  <si>
    <t>Manufacturer identifier and information</t>
  </si>
  <si>
    <t>Marking symbol for separate collection of batteries</t>
  </si>
  <si>
    <t>EU declaration of conformity</t>
  </si>
  <si>
    <t>Carbon footprint as declared (kg CO2e /1 kWh of total energy)</t>
  </si>
  <si>
    <t>Carbon footprint per the 4 life cycle stages (%)</t>
  </si>
  <si>
    <t>Carbon footprint performance class</t>
  </si>
  <si>
    <t>ID of EU declaration of conformity</t>
  </si>
  <si>
    <t>Link to carbon footprint study</t>
  </si>
  <si>
    <t xml:space="preserve">Material used in the cathode, anode and electrolyte </t>
  </si>
  <si>
    <t>Critical raw materials present in the battery in a concentration of more than 0.1 wt%</t>
  </si>
  <si>
    <t>Extinguishing agent</t>
  </si>
  <si>
    <t>Information on prevention and management of waste batteries</t>
  </si>
  <si>
    <t>Maximum permitted battery power</t>
  </si>
  <si>
    <t>Initial internal resistance on module level (voluntary)</t>
  </si>
  <si>
    <t>Initial internal resistance on battery pack level</t>
  </si>
  <si>
    <t>Intial round trip energy efficiency at 50% of cycle life</t>
  </si>
  <si>
    <t>Capacity fade (kWh)</t>
  </si>
  <si>
    <t>Remaining capacity (useable, available)</t>
  </si>
  <si>
    <t>State of Battery Energy (SOCE)</t>
  </si>
  <si>
    <t>Power fade</t>
  </si>
  <si>
    <t>Current self-discharging rate</t>
  </si>
  <si>
    <t>Evolution of self-discharging rate</t>
  </si>
  <si>
    <t>Cycle-life reference test</t>
  </si>
  <si>
    <t>Capacity threshold for exhaustion</t>
  </si>
  <si>
    <t>SOCE threshold for exhaustion (voluntary)</t>
  </si>
  <si>
    <t>Temperature range idle state (lower boundary)</t>
  </si>
  <si>
    <t>Temperature range idle state (upper boundary)</t>
  </si>
  <si>
    <t>Temperature range the battery can withstand when not used</t>
  </si>
  <si>
    <t>Capacity throughput</t>
  </si>
  <si>
    <t>Energy throughput</t>
  </si>
  <si>
    <t>Time spent charging during extreme temperatures</t>
  </si>
  <si>
    <t>Time spent in extreme temperatures</t>
  </si>
  <si>
    <t>Number of deep discharge events</t>
  </si>
  <si>
    <t>Number of overcharge events (voluntary)</t>
  </si>
  <si>
    <t>Remaining capacity</t>
  </si>
  <si>
    <t>Negative events</t>
  </si>
  <si>
    <t>Service  log</t>
  </si>
  <si>
    <t>Link</t>
  </si>
  <si>
    <t>-20 to +35C</t>
  </si>
  <si>
    <t>Carbon footprint (Cradle to gate)</t>
  </si>
  <si>
    <t>{"Battery status" : {"value":{"@value":"", "@type":"xsd:string"}}}</t>
  </si>
  <si>
    <t>{"Module dimension":{"Height"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</si>
  <si>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{"Module weight" : {"value":{"@value":"", "@type":"xsd:float", "unitCode":"KGM"}}}</t>
  </si>
  <si>
    <t>{"Total module weight in pack" : {"value":{"@value":"", "@type":"xsd:float", "unitCode":"KGM"}}}</t>
  </si>
  <si>
    <t>{"Battery carbon footprint" : {"value":{"@value":"", "@type":"xsd:float"}}}</t>
  </si>
  <si>
    <t>{"Battery chemistry" : {"value":{"@value":"", "@type":"xsd:string"}}}</t>
  </si>
  <si>
    <t>{"Material used in the cathode, anode and electrolyte " : {"value":{"@value":"", "@type":"xsd:float"}}}</t>
  </si>
  <si>
    <t>{"Rated Capacity" : {"@type":"gs1:Power", "value":{"@value":"", "@type":"xsd:float", "unitCode":"KWH"}}}</t>
  </si>
  <si>
    <t>{"Certified Useable Battery Energy BoL" : {"@type":"gs1:Power", "value":{"@value":"", "@type":"xsd:float", "unitCode":"KWH"}}}</t>
  </si>
  <si>
    <t>{"Min, Nominal and Max voltage":{"Min" : {"@type":"gs1:Voltage", "value":{"@value":"", "@type":"xsd:float", "unitCode": "VLT"}}, "Nominal" : {"@type":"gs1:Voltage", "value":{"@value":"", "@type":"xsd:float", "unitCode": "VLT"}}, "Max" : {"@type":"gs1:Voltage", "value":{"@value":"", "@type":"xsd:float", "unitCode": "VLT"}}}}</t>
  </si>
  <si>
    <t>{"Maximum permitted battery power" : {"@type":"gs1:Power", "value":{"@value":"", "@type":"xsd:float", "unitCode":"KWH"}}}</t>
  </si>
  <si>
    <t>{"Ratio between nominal battery power and battery energy" : {"value":{"@value":"", "@type":"xsd:float"}}}</t>
  </si>
  <si>
    <t>{"Initial self-discharging rate" : {"value":{"@value":"", "@type":"xsd:float"}}}</t>
  </si>
  <si>
    <t>{"Initial internal resistance on cell level" : {"@type":"gs1:Power", "value":{"@value":"", "@type":"xsd:float", "unitCode":"E45"}}}</t>
  </si>
  <si>
    <t>{"Intial round trip energy efficiency" : {"value":{"@value":"", "@type":"xsd:float"}}}</t>
  </si>
  <si>
    <t>{"Remaining capacity (useable, available)" : {"@type":"gs1:Power", "value":{"@value":"", "@type":"xsd:float", "unitCode":"KWH"}}}</t>
  </si>
  <si>
    <t>{"State of Charge (SOC)" : {"value":{"@value":"", "@type":"xsd:float"}}}</t>
  </si>
  <si>
    <t>{"Power fade" : {"@type":"gs1:Power", "value":{"@value":"", "@type":"xsd:float", "unitCode":"KWH"}}}</t>
  </si>
  <si>
    <t>{"Expected lifetime: Number of charge-discharge cycles" : {"value":{"@value":"", "@type":"xsd:float"}}}</t>
  </si>
  <si>
    <t>{"C-rate of relevant cycle-life test" : {"value":{"@value":"", "@type":"xsd:float"}}}</t>
  </si>
  <si>
    <t>{"Warranty period of the battery" : {"value":{"@value":"", "@type":"xsd:float"}}}</t>
  </si>
  <si>
    <t>{"Current number of (full) charging and discharging cycles" : {"value":{"@value":"", "@type":"xsd:float"}}}</t>
  </si>
  <si>
    <t>{"State of Health (SOH)" : {"value":{"@value":"", "@type":"xsd:float",  "unitCode":"P1"}}}</t>
  </si>
  <si>
    <t>{"Remaining capacity" : {"@type":"gs1:Power", "value":{"@value":"", "@type":"xsd:float", "unitCode":"KWH"}}}</t>
  </si>
  <si>
    <t>{"Expected remaining battery lifetime expressed in cycles " : {"value":{"@value":"", "@type":"xsd:float"}}}</t>
  </si>
  <si>
    <t>{"Negative events" : {"@type":"schema:Text", "value": {"@value":"", "@type":"xsd:string"}}}</t>
  </si>
  <si>
    <t>{"Service  log" : {"@type":"schema:Text", "value": {"@value":"", "@type":"xsd:string"}}}</t>
  </si>
  <si>
    <t>{"Carbon footprint as declared" : {"value":{"@value":"", "@type":"xsd:float"}}}</t>
  </si>
  <si>
    <t>{"Carbon footprint per the 4 life cycle stages" : {"value":{"@value":"", "@type":"xsd:float"}}}</t>
  </si>
  <si>
    <t>{"Carbon footprint performance class" : {"value":{"@value":"", "@type":"xsd:string"}}}</t>
  </si>
  <si>
    <t>{"ID of EU declaration of conformity" : {"value":{"@value":"", "@type":"xsd:string"}}}</t>
  </si>
  <si>
    <t>{"Initial internal resistance on module level (voluntary)" : {"@type":"gs1:Power", "value":{"@value":"", "@type":"xsd:float", "unitCode":"E45"}}}</t>
  </si>
  <si>
    <t>{"Capacity fade (kWh)" : {"@type":"gs1:Power", "value":{"@value":"", "@type":"xsd:float", "unitCode":"KWH"}}}</t>
  </si>
  <si>
    <t>{"Remaining useable battery energy" : {"@type":"gs1:Power", "value":{"@value":"", "@type":"xsd:float", "unitCode":"KWH"}}}</t>
  </si>
  <si>
    <t>{"State of Battery Energy (SOCE)" : {"value":{"@value":"", "@type":"xsd:float"}}}</t>
  </si>
  <si>
    <t>{"Energy round trip efficiency fade" : {"value":{"@value":"", "@type":"xsd:float"}}}</t>
  </si>
  <si>
    <t>{"Current self-discharging rate" : {"value":{"@value":"", "@type":"xsd:float"}}}</t>
  </si>
  <si>
    <t>{"Evolution of self-discharging rate" : {"value":{"@value":"", "@type":"xsd:float"}}}</t>
  </si>
  <si>
    <t>{"Capacity threshold for exhaustion" : {"value":{"@value":"", "@type":"xsd:float"}}}</t>
  </si>
  <si>
    <t>{"Temperature range idle state (lower boundary)" : {"@type":"gs1:Temperature", "value":{"@value":"", "@type":"xsd:float", "unitCode":"CEL"}}}</t>
  </si>
  <si>
    <t>{"Temperature range idle state (lower upper)" : {"@type":"gs1:Temperature", "value":{"@value":"", "@type":"xsd:float", "unitCode":"CEL"}}}</t>
  </si>
  <si>
    <t>{"Temperature range the battery can withstand when not used" : {"@type":"gs1:Temperature", "value":{"@value":"", "@type":"xsd:float", "unitCode":"CEL"}}}</t>
  </si>
  <si>
    <t>{"Capacity throughput" : {"value":{"@value":"", "@type":"xsd:float"}}}</t>
  </si>
  <si>
    <t>{"Energy throughput" : {"value":{"@value":"", "@type":"xsd:float"}}}</t>
  </si>
  <si>
    <t>{"Number of deep discharge events" : {"value":{"@value":"", "@type":"xsd:float"}}}</t>
  </si>
  <si>
    <t>{"Number of overcharge events (voluntary)" : {"value":{"@value":"", "@type":"xsd:float"}}}</t>
  </si>
  <si>
    <t>{"SOH Timestamp" : {"value":{"@value":"", "@type":"xsd:dateTime"}}}</t>
  </si>
  <si>
    <t>Relevant for use case</t>
  </si>
  <si>
    <t>x</t>
  </si>
  <si>
    <t>{"BESS ID" : {"value":{"@value":"", "@type":"xsd:string"}}}</t>
  </si>
  <si>
    <t>{"Current Internal resistance (pack)" : {"@type":"gs1:Power", "value":{"@value":"", "@type":"xsd:float"}}}</t>
  </si>
  <si>
    <t>{"Internal resistance increase (pack)" : {"@type":"gs1:Power", "value":{"@value":"", "@type":"xsd:float"}}}</t>
  </si>
  <si>
    <t>Product ID</t>
  </si>
  <si>
    <t>{"Original weight" : {"value":{"@value":"", "@type":"xsd:float", "unitCode":"KGM"}}}</t>
  </si>
  <si>
    <t>{"Repurposed Pack ID" : {"value":{"@value":"", "@type":"xsd:string"}}}</t>
  </si>
  <si>
    <t>{"Carbon footprint (Cradle to gate)" : {"value":{"@value":"", "@type":"xsd:float"}}}</t>
  </si>
  <si>
    <t>Battery category</t>
  </si>
  <si>
    <t>Original power capability and limits</t>
  </si>
  <si>
    <t>Remaining useable battery energy (kWh)</t>
  </si>
  <si>
    <t>Remaining power capability</t>
  </si>
  <si>
    <t>EV</t>
  </si>
  <si>
    <t>Repurposed</t>
  </si>
  <si>
    <t>4912,4913,4916,5101,5108,5112,6318,6327,6502,6509,7101</t>
  </si>
  <si>
    <t>580x200xx110</t>
  </si>
  <si>
    <t>NMC622</t>
  </si>
  <si>
    <t>Min: 3,2 V
Nominal: 3,7 V
Max: 4,15 V</t>
  </si>
  <si>
    <t>&gt;85</t>
  </si>
  <si>
    <t>&gt;0,01</t>
  </si>
  <si>
    <t>???</t>
  </si>
  <si>
    <t>??</t>
  </si>
  <si>
    <t>[3.2,3.7,4.15]</t>
  </si>
  <si>
    <t>DPP Update Responsible</t>
  </si>
  <si>
    <t>Public</t>
  </si>
  <si>
    <t>{"DPP Update Responsible" :  {"@type":"schema:Organization", "value":{"@type":"schema:legalName", "value": {"@value":"", "@type":"xsd:string"}}}}</t>
  </si>
  <si>
    <t>{"Hazardous substances content" : {"@type":"gs1:ReferencedFileTypeCode-HAZARDOUS_SUBSTANCES_DATA", "value": {"@type":"gs1:pip", "value":{"@value":"", "@type":"xsd:anyURI"}}}}</t>
  </si>
  <si>
    <t>{"Contact details for spare parts" : {"@type":"gs1:pip", "value":{"@value":"", "@type":"xsd:anyURI"}}}</t>
  </si>
  <si>
    <t>{"Manufacturer identifier and information" : {"@type":"gs1:pip", "value":{"@value":"", "@type":"xsd:anyURI"}}}</t>
  </si>
  <si>
    <t>{"Marking symbol for separate collection of batteries" : {"@type":"gs1:pip", "value":{"@value":"", "@type":"xsd:anyURI"}}}</t>
  </si>
  <si>
    <t>{"EU declaration of conformity" : {"@type":"gs1:pip", "value":{"@value":"", "@type":"xsd:anyURI"}}}</t>
  </si>
  <si>
    <t>{"Results of test reports proving compliance with this Regulation" : {"@type":"gs1:pip", "value":{"@value":"", "@type":"xsd:anyURI"}}}</t>
  </si>
  <si>
    <t>{"Link to carbon footprint study" : {"@type":"gs1:pip", "value":{"@value":"", "@type":"xsd:anyURI"}}}</t>
  </si>
  <si>
    <t>{"Information of the due diligence report" : {"@type":"gs1:pip", "value":{"@value":"", "@type":"xsd:anyURI"}}}</t>
  </si>
  <si>
    <t>{"Critical raw materials present in the battery" : {"@type":"gs1:pip", "value":{"@value":"", "@type":"xsd:anyURI"}}}</t>
  </si>
  <si>
    <t>{"Extinguishing agent" : {"@type":"gs1:pip", "value":{"@value":"", "@type":"xsd:anyURI"}}}</t>
  </si>
  <si>
    <t>{"Information on prevention and management of waste batteries" : {"@type":"gs1:pip", "value":{"@value":"", "@type":"xsd:anyURI"}}}</t>
  </si>
  <si>
    <t>{"Part numbers for spare parts components" : {"@type":"gs1:pip", "value":{"@value":"", "@type":"xsd:anyURI"}}}</t>
  </si>
  <si>
    <t>{"Safety measures/instructions" : {"@type":"gs1:pip", "value":{"@value":"", "@type":"xsd:anyURI"}}}</t>
  </si>
  <si>
    <t>{"Cycle-life reference test" : {"@type":"gs1:pip", "value":{"@value":"", "@type":"xsd:anyURI"}}}</t>
  </si>
  <si>
    <t>{"Results of tests reports" : {"@type":"gs1:pip", "value":{"@value":"", "@type":"xsd:anyURI"}}}</t>
  </si>
  <si>
    <t>{"SOCE threshold for exhaustion (voluntary)" : {"@type":"gs1:pip", "value":{"@value":"", "@type":"xsd:anyURI"}}}</t>
  </si>
  <si>
    <t>Pre-consumer recycled nickel share</t>
  </si>
  <si>
    <t>Pre-consumer  recycled cobolt share</t>
  </si>
  <si>
    <t>Pre-consumer recycled lithium share</t>
  </si>
  <si>
    <t>Pre-consumer recycled lead share</t>
  </si>
  <si>
    <t>Post-consumer recycled nickel share</t>
  </si>
  <si>
    <t>Post-consumer recycled cobolt share</t>
  </si>
  <si>
    <t>Post-consumer recycled lithium share</t>
  </si>
  <si>
    <t>Post-consumer recycled lead share</t>
  </si>
  <si>
    <t>Renewable content share</t>
  </si>
  <si>
    <t>Information on the role of end-users in contributing to waste prevention</t>
  </si>
  <si>
    <t>Information on the role of end-users in contributing to the separate collection of waste batteries</t>
  </si>
  <si>
    <t>Information on battery collection, preparation for second life and on treatment at end of life</t>
  </si>
  <si>
    <t>Information on sources of spare parts</t>
  </si>
  <si>
    <t>Private</t>
  </si>
  <si>
    <t>Replace fuse 2024-09-02</t>
  </si>
  <si>
    <t>{"Intial round trip energy efficiency at 50% of cycle life" : {"value":{"@value":"", "@type":"xsd:string"}}}</t>
  </si>
  <si>
    <t>{"Pre-consumer recycled nickel share" : {"value":{"@value":"", "@type":"xsd:float",  "unitCode":"P1"}}}</t>
  </si>
  <si>
    <t>{"Pre-consumer  recycled cobolt share" : {"value":{"@value":"", "@type":"xsd:float",  "unitCode":"P1"}}}</t>
  </si>
  <si>
    <t>{"Pre-consumer recycled lithium share" : {"value":{"@value":"", "@type":"xsd:float",  "unitCode":"P1"}}}</t>
  </si>
  <si>
    <t>{"Pre-consumer recycled lead share" : {"value":{"@value":"", "@type":"xsd:float",  "unitCode":"P1"}}}</t>
  </si>
  <si>
    <t>{"Post-consumer recycled nickel share" : {"value":{"@value":"", "@type":"xsd:float",  "unitCode":"P1"}}}</t>
  </si>
  <si>
    <t>{"Post-consumer recycled cobolt share" : {"value":{"@value":"", "@type":"xsd:float",  "unitCode":"P1"}}}</t>
  </si>
  <si>
    <t>{"Post-consumer recycled lithium share" : {"value":{"@value":"", "@type":"xsd:float",  "unitCode":"P1"}}}</t>
  </si>
  <si>
    <t>{"Post-consumer recycled lead share" : {"value":{"@value":"", "@type":"xsd:float",  "unitCode":"P1"}}}</t>
  </si>
  <si>
    <t>{"Renewable content share" : {"value":{"@value":"", "@type":"xsd:float",  "unitCode":"P1"}}}</t>
  </si>
  <si>
    <t>{"Information on sources of spare parts" : {"value":{"@value":"", "@type":"xsd:string"}}}</t>
  </si>
  <si>
    <t>Dismantling information</t>
  </si>
  <si>
    <t>PLS</t>
  </si>
  <si>
    <t>[Min, Nominal, Max]</t>
  </si>
  <si>
    <t>{"Battery category" : {"@type":"gs1:subBrandName", "value":{"@value":"", "@type":"rdf:langString"}}}</t>
  </si>
  <si>
    <t>Donor data expressed in the DPP portal: Module serial numbers</t>
  </si>
  <si>
    <t>Hazardous substances, other than Hg, Cd, Pb</t>
  </si>
  <si>
    <t>Part numbers for spare parts components</t>
  </si>
  <si>
    <t>{"Dismantling information" : {"@type":"gs1:pip", "value":{"@value":"", "@type":"xsd:anyURI"}}}</t>
  </si>
  <si>
    <t>{"Original power capability and limits" : {"@type":"gs1:Power", "value":{"@value":"", "@type":"xsd:float", "unitCode":"KWH"}}}</t>
  </si>
  <si>
    <t>{"Remaining power capability" : {"@type":"gs1:Power", "value":{"@value":"", "@type":"xsd:float", "unitCode":"KWT"}}}</t>
  </si>
  <si>
    <t>Energy round trip efficiency fade</t>
  </si>
  <si>
    <t>{"Donor data expressed in the DPP portal: Module serial numbers" : {"value":{"@value":"", "@type":"xsd:string"}}}</t>
  </si>
  <si>
    <t>Date of putting into service</t>
  </si>
  <si>
    <t>{"Date of putting into service" : {"value":{"@value":"", "@type":"xsd:dateTime"}}}</t>
  </si>
  <si>
    <t>[580, 200, 110]</t>
  </si>
  <si>
    <t>Drove off the road</t>
  </si>
  <si>
    <t>{"Time spent charging during extreme temperatures" : {"value":{"@value":"", "@type":"xsd:float"}}}</t>
  </si>
  <si>
    <t>{"Time spent in extreme temperatures" : {"value":{"@value":"", "@type":"xsd:float"}}}</t>
  </si>
  <si>
    <t>{"Hazardous substances, other than Hg, Cd, Pb" : {"@type":"gs1:ReferencedFileTypeCode-HAZARDOUS_SUBSTANCES_DATA", "value": {"@type":"gs1:pip", "value":{"@value":"", "@type":"xsd:anyURI"}}}}</t>
  </si>
  <si>
    <t>9. Product Updates</t>
  </si>
  <si>
    <t>Historic</t>
  </si>
  <si>
    <t>private</t>
  </si>
  <si>
    <t>{"Historic" : {"value":{"@value":"", "@type":"xsd:boolean"}}}</t>
  </si>
  <si>
    <t>Update ID</t>
  </si>
  <si>
    <t>public</t>
  </si>
  <si>
    <t>{"Update ID" : { "value": {"@value":"", "@type":"xsd:string"}}}</t>
  </si>
  <si>
    <t>Donor data expressed in the DPP portal: Original DPPs (parent packs)</t>
  </si>
  <si>
    <t>{"Donor data expressed in the DPP portal: Original DPPs (parent packs)" : {"value":{"@value":"", "@type":"xsd:string"}}}</t>
  </si>
  <si>
    <t>general_battery_and_manufacturer_information</t>
  </si>
  <si>
    <t>compliance_labels_and_certifications</t>
  </si>
  <si>
    <t>supply_chain_due_diligence</t>
  </si>
  <si>
    <t>battery_material_and_composition</t>
  </si>
  <si>
    <t>performance</t>
  </si>
  <si>
    <t>durability</t>
  </si>
  <si>
    <t>:material/license:</t>
  </si>
  <si>
    <t>:material/webhook:</t>
  </si>
  <si>
    <t>:material/monitoring:</t>
  </si>
  <si>
    <t>:material/hourglass_top:</t>
  </si>
  <si>
    <t>:material/cycle: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</si>
</sst>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/>
    <xf numFmtId="0" fontId="18" fillId="33" borderId="0" xfId="0" applyFont="1" applyFill="1"/>
    <xf numFmtId="0" fontId="18" fillId="0" borderId="0" xfId="0" applyFont="1" applyAlignment="1">
      <alignment horizontal="left"/>
    </xf>
    <xf numFmtId="0" fontId="18" fillId="0" borderId="0" xfId="0" quotePrefix="1" applyFont="1" applyAlignment="1">
      <alignment horizontal="left"/>
    </xf>
    <xf numFmtId="0" fontId="18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14" fillId="0" borderId="0" xfId="0" applyFont="1" applyAlignment="1">
      <alignment wrapText="1"/>
    </xf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left" wrapText="1"/>
    </xf>
    <xf numFmtId="49" fontId="14" fillId="0" borderId="0" xfId="0" applyNumberFormat="1" applyFont="1" applyAlignment="1">
      <alignment horizontal="left" wrapText="1"/>
    </xf>
    <xf numFmtId="0" fontId="14" fillId="0" borderId="0" xfId="0" quotePrefix="1" applyFont="1" applyAlignment="1">
      <alignment horizontal="left"/>
    </xf>
    <xf numFmtId="0" fontId="14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42" applyFont="1" applyAlignment="1">
      <alignment horizontal="center"/>
    </xf>
    <xf numFmtId="0" fontId="18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1FDF7FB-103E-784E-AC0B-EB9EA3B04F6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nna Persson" id="{1EAC20E0-2CF8-4495-8C8B-33F00B0737F3}" userId="S::hanna.persson@chalmersindustriteknik.se::d87ec431-f1fe-4703-9d58-7cd0c10f671c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2" dT="2025-03-10T13:50:33.67" personId="{1EAC20E0-2CF8-4495-8C8B-33F00B0737F3}" id="{8F695390-AD14-CB4C-9F71-947D6A90AFF4}">
    <text>The battery must be categorised by its intended use in:
- LMT battery;
- electric vehicle battery; or
- industrial battery (stationary battery energy storage system/other industrial batteries).</text>
  </threadedComment>
  <threadedComment ref="D23" dT="2024-09-12T08:15:10.63" personId="{1EAC20E0-2CF8-4495-8C8B-33F00B0737F3}" id="{84C56A96-274D-E140-810F-310AC2CB76F8}">
    <text xml:space="preserve"> 'original', 'repurposed', 'reused', 'remanufactured', 'waste'</text>
  </threadedComment>
  <threadedComment ref="I23" dT="2025-03-10T13:51:22.91" personId="{1EAC20E0-2CF8-4495-8C8B-33F00B0737F3}" id="{C2BB9260-1D7B-F341-983C-FBBD75364E84}">
    <text>original’, ‘repurposed’, ‘re-used’, ‘remanufactured’ or ‘waste’</text>
  </threadedComment>
  <threadedComment ref="D73" dT="2024-10-01T06:18:11.52" personId="{1EAC20E0-2CF8-4495-8C8B-33F00B0737F3}" id="{4876BD04-5F03-3B46-B706-F14A971EDCE2}">
    <text>Energy round trip efficiency’ means the ratio of the net energy delivered by a battery during a discharge test to the total energy required to restore the initial State of Charge by a standard charge.</text>
  </threadedComment>
  <threadedComment ref="D74" dT="2024-10-01T06:18:11.52" personId="{1EAC20E0-2CF8-4495-8C8B-33F00B0737F3}" id="{A9723485-D98A-1242-BB93-4A957EA417FA}">
    <text>Energy round trip efficiency’ means the ratio of the net energy delivered by a battery during a discharge test to the total energy required to restore the initial State of Charge by a standard charge.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0A29-C29E-1746-BC3B-9F1F909FD312}">
  <dimension ref="A1:K73"/>
  <sheetViews>
    <sheetView workbookViewId="0">
      <selection activeCell="E25" sqref="E25"/>
    </sheetView>
  </sheetViews>
  <sheetFormatPr baseColWidth="10" defaultRowHeight="15" x14ac:dyDescent="0.2"/>
  <cols>
    <col min="3" max="3" width="47.1640625" customWidth="1"/>
    <col min="4" max="4" width="31.1640625" customWidth="1"/>
  </cols>
  <sheetData>
    <row r="1" spans="1:11" x14ac:dyDescent="0.2">
      <c r="A1" t="str">
        <f>parameter_metadata_original!A1</f>
        <v>category</v>
      </c>
      <c r="B1" t="str">
        <f>parameter_metadata_original!B1</f>
        <v>Relevant for use case</v>
      </c>
      <c r="C1" t="str">
        <f>parameter_metadata_original!C1</f>
        <v>sub_category</v>
      </c>
      <c r="D1" t="str">
        <f>parameter_metadata_original!D1</f>
        <v>parameter</v>
      </c>
      <c r="E1" t="str">
        <f>parameter_metadata_original!E1</f>
        <v>order_parameter</v>
      </c>
      <c r="F1" t="str">
        <f>parameter_metadata_original!F1</f>
        <v>subparameter</v>
      </c>
      <c r="G1" t="str">
        <f>parameter_metadata_original!G1</f>
        <v>access</v>
      </c>
      <c r="H1" t="str">
        <f>parameter_metadata_original!H1</f>
        <v>type</v>
      </c>
      <c r="I1" t="str">
        <f>parameter_metadata_original!I1</f>
        <v>example data(text)</v>
      </c>
      <c r="J1" t="str">
        <f>parameter_metadata_original!J1</f>
        <v>example data</v>
      </c>
      <c r="K1" t="str">
        <f>parameter_metadata_original!K1</f>
        <v>data model definition string</v>
      </c>
    </row>
    <row r="2" spans="1:11" x14ac:dyDescent="0.2">
      <c r="A2" t="str">
        <f>parameter_metadata_original!A3</f>
        <v>1. General product and manufacturer information</v>
      </c>
      <c r="B2" t="str">
        <f>parameter_metadata_original!B3</f>
        <v>x</v>
      </c>
      <c r="C2" t="str">
        <f>parameter_metadata_original!C3</f>
        <v>1. General product and manufacturer information</v>
      </c>
      <c r="D2" t="str">
        <f>parameter_metadata_original!D3</f>
        <v>Product ID</v>
      </c>
      <c r="E2">
        <v>1</v>
      </c>
      <c r="G2" t="str">
        <f>parameter_metadata_original!G3</f>
        <v>Public</v>
      </c>
      <c r="H2" t="str">
        <f>parameter_metadata_original!H3</f>
        <v>Static</v>
      </c>
      <c r="I2">
        <f>parameter_metadata_original!I3</f>
        <v>0</v>
      </c>
      <c r="J2">
        <f>parameter_metadata_original!J3</f>
        <v>1</v>
      </c>
      <c r="K2" t="str">
        <f>parameter_metadata_original!K3</f>
        <v>{"Product ID": {"@type":"gs1:gtin","value": {"@value":"", "@type":"xsd:string"}}}</v>
      </c>
    </row>
    <row r="3" spans="1:11" x14ac:dyDescent="0.2">
      <c r="A3" t="str">
        <f>parameter_metadata_original!A2</f>
        <v>1. General product and manufacturer information</v>
      </c>
      <c r="B3" t="str">
        <f>parameter_metadata_original!B2</f>
        <v>x</v>
      </c>
      <c r="C3" t="str">
        <f>parameter_metadata_original!C2</f>
        <v>1. General product and manufacturer information</v>
      </c>
      <c r="D3" t="str">
        <f>parameter_metadata_original!D2</f>
        <v>DPP Created Timestamp</v>
      </c>
      <c r="E3">
        <v>2</v>
      </c>
      <c r="G3" t="str">
        <f>parameter_metadata_original!G2</f>
        <v>Public</v>
      </c>
      <c r="H3" t="str">
        <f>parameter_metadata_original!H2</f>
        <v>Static</v>
      </c>
      <c r="I3">
        <f>parameter_metadata_original!I2</f>
        <v>0</v>
      </c>
      <c r="K3" t="str">
        <f>parameter_metadata_original!K2</f>
        <v>{"DPP Created Timestamp" : {"value":{"@value":"", "@type":"xsd:dateTime"}}}</v>
      </c>
    </row>
    <row r="4" spans="1:11" x14ac:dyDescent="0.2">
      <c r="A4" t="str">
        <f>parameter_metadata_original!A22</f>
        <v>1. General battery and manufacturer information</v>
      </c>
      <c r="B4" t="str">
        <f>parameter_metadata_original!B22</f>
        <v>x</v>
      </c>
      <c r="C4" t="str">
        <f>parameter_metadata_original!C22</f>
        <v>1. General battery and manufacturer information</v>
      </c>
      <c r="D4" t="str">
        <f>parameter_metadata_original!D22</f>
        <v>Battery category</v>
      </c>
      <c r="E4">
        <v>3</v>
      </c>
      <c r="G4" t="str">
        <f>parameter_metadata_original!G22</f>
        <v>Public</v>
      </c>
      <c r="H4" t="str">
        <f>parameter_metadata_original!H22</f>
        <v>Static</v>
      </c>
      <c r="I4" t="str">
        <f>parameter_metadata_original!I22</f>
        <v>EV</v>
      </c>
      <c r="J4" t="str">
        <f>parameter_metadata_original!J22</f>
        <v>EV</v>
      </c>
      <c r="K4" t="str">
        <f>parameter_metadata_original!K22</f>
        <v>{"Battery category" : {"@type":"gs1:subBrandName", "value":{"@value":"", "@type":"rdf:langString"}}}</v>
      </c>
    </row>
    <row r="5" spans="1:11" x14ac:dyDescent="0.2">
      <c r="A5" t="str">
        <f>parameter_metadata_original!A21</f>
        <v>1. General battery and manufacturer information</v>
      </c>
      <c r="B5" t="str">
        <f>parameter_metadata_original!B21</f>
        <v>x</v>
      </c>
      <c r="C5" t="str">
        <f>parameter_metadata_original!C21</f>
        <v>1. General battery and manufacturer information</v>
      </c>
      <c r="D5" t="str">
        <f>parameter_metadata_original!D21</f>
        <v>Manufacturer identifier and information</v>
      </c>
      <c r="E5">
        <v>4</v>
      </c>
      <c r="G5" t="str">
        <f>parameter_metadata_original!G21</f>
        <v>Public</v>
      </c>
      <c r="H5" t="str">
        <f>parameter_metadata_original!H21</f>
        <v>Static</v>
      </c>
      <c r="I5" t="str">
        <f>parameter_metadata_original!I21</f>
        <v>File</v>
      </c>
      <c r="J5" t="str">
        <f>parameter_metadata_original!J21</f>
        <v>File</v>
      </c>
      <c r="K5" t="str">
        <f>parameter_metadata_original!K21</f>
        <v>{"Manufacturer identifier and information" : {"@type":"gs1:pip", "value":{"@value":"", "@type":"xsd:anyURI"}}}</v>
      </c>
    </row>
    <row r="6" spans="1:11" x14ac:dyDescent="0.2">
      <c r="A6" t="str">
        <f>parameter_metadata_original!A4</f>
        <v>1. General product and manufacturer information</v>
      </c>
      <c r="B6" t="str">
        <f>parameter_metadata_original!B4</f>
        <v>x</v>
      </c>
      <c r="C6" t="str">
        <f>parameter_metadata_original!C4</f>
        <v>1. General product and manufacturer information</v>
      </c>
      <c r="D6" t="str">
        <f>parameter_metadata_original!D4</f>
        <v>Manufacturing date</v>
      </c>
      <c r="E6">
        <v>5</v>
      </c>
      <c r="G6" t="str">
        <f>parameter_metadata_original!G4</f>
        <v>Public</v>
      </c>
      <c r="H6" t="str">
        <f>parameter_metadata_original!H4</f>
        <v>Static</v>
      </c>
      <c r="I6">
        <f>parameter_metadata_original!I4</f>
        <v>0</v>
      </c>
      <c r="K6" t="str">
        <f>parameter_metadata_original!K4</f>
        <v>{"Manufacturing date": {"@type":"gs1:productionDateTime", "value": {"@value":"", "@type":"xsd:dateTime"}}}</v>
      </c>
    </row>
    <row r="7" spans="1:11" x14ac:dyDescent="0.2">
      <c r="A7" t="str">
        <f>parameter_metadata_original!A5</f>
        <v>1. General product and manufacturer information</v>
      </c>
      <c r="B7" t="str">
        <f>parameter_metadata_original!B5</f>
        <v>x</v>
      </c>
      <c r="C7" t="str">
        <f>parameter_metadata_original!C5</f>
        <v>1. General product and manufacturer information</v>
      </c>
      <c r="D7" t="str">
        <f>parameter_metadata_original!D5</f>
        <v>Manufactured by</v>
      </c>
      <c r="E7">
        <v>7</v>
      </c>
      <c r="G7" t="str">
        <f>parameter_metadata_original!G5</f>
        <v>Public</v>
      </c>
      <c r="H7" t="str">
        <f>parameter_metadata_original!H5</f>
        <v>Static</v>
      </c>
      <c r="I7">
        <f>parameter_metadata_original!I5</f>
        <v>0</v>
      </c>
      <c r="J7" t="str">
        <f>parameter_metadata_original!J5</f>
        <v>PLS</v>
      </c>
      <c r="K7" t="str">
        <f>parameter_metadata_original!K5</f>
        <v>{"Manufactured by": {"@type":"gs1:organizationName", "value": {"@value": "", "@type":"xsd:string"}}}</v>
      </c>
    </row>
    <row r="8" spans="1:11" x14ac:dyDescent="0.2">
      <c r="A8" t="str">
        <f>parameter_metadata_original!A6</f>
        <v>1. General product and manufacturer information</v>
      </c>
      <c r="B8" t="str">
        <f>parameter_metadata_original!B6</f>
        <v>x</v>
      </c>
      <c r="C8" t="str">
        <f>parameter_metadata_original!C6</f>
        <v>1. General product and manufacturer information</v>
      </c>
      <c r="D8" t="str">
        <f>parameter_metadata_original!D6</f>
        <v>Manufacturing place</v>
      </c>
      <c r="E8">
        <v>8</v>
      </c>
      <c r="F8" t="str">
        <f>parameter_metadata_original!F6</f>
        <v>[City, Address]</v>
      </c>
      <c r="G8" t="str">
        <f>parameter_metadata_original!G6</f>
        <v>Public</v>
      </c>
      <c r="H8" t="str">
        <f>parameter_metadata_original!H6</f>
        <v>Static</v>
      </c>
      <c r="I8">
        <f>parameter_metadata_original!I6</f>
        <v>0</v>
      </c>
      <c r="K8" t="str">
        <f>parameter_metadata_original!K6</f>
        <v>{"Manufacturing place" : {"@type":"gs1:address", "City": {"@type":"gs1:addressLocality", "value":{"@value": "", "@type":"xsd:string"}} , "Address":{"@type":"gs1:streetAddress",  "value":{"@value": "", "@type":"xsd:string"}}}}</v>
      </c>
    </row>
    <row r="9" spans="1:11" x14ac:dyDescent="0.2">
      <c r="A9" t="str">
        <f>parameter_metadata_original!A7</f>
        <v>1. General product and manufacturer information</v>
      </c>
      <c r="B9" t="str">
        <f>parameter_metadata_original!B7</f>
        <v>x</v>
      </c>
      <c r="C9" t="str">
        <f>parameter_metadata_original!C7</f>
        <v>1. General product and manufacturer information</v>
      </c>
      <c r="D9" t="str">
        <f>parameter_metadata_original!D7</f>
        <v>Product category</v>
      </c>
      <c r="E9">
        <v>9</v>
      </c>
      <c r="G9" t="str">
        <f>parameter_metadata_original!G7</f>
        <v>Public</v>
      </c>
      <c r="H9" t="str">
        <f>parameter_metadata_original!H7</f>
        <v>Static</v>
      </c>
      <c r="I9">
        <f>parameter_metadata_original!I7</f>
        <v>0</v>
      </c>
      <c r="K9" t="str">
        <f>parameter_metadata_original!K7</f>
        <v>{"Product category" : {"@type":"gs1:brandName", "value":{"@value":"", "@type":"rdf:langString"}}}</v>
      </c>
    </row>
    <row r="10" spans="1:11" x14ac:dyDescent="0.2">
      <c r="A10" t="str">
        <f>parameter_metadata_original!A8</f>
        <v>1. General product and manufacturer information</v>
      </c>
      <c r="B10" t="str">
        <f>parameter_metadata_original!B8</f>
        <v>x</v>
      </c>
      <c r="C10" t="str">
        <f>parameter_metadata_original!C8</f>
        <v>1. General product and manufacturer information</v>
      </c>
      <c r="D10" t="str">
        <f>parameter_metadata_original!D8</f>
        <v>Economic operator</v>
      </c>
      <c r="E10">
        <v>10</v>
      </c>
      <c r="G10" t="str">
        <f>parameter_metadata_original!G8</f>
        <v>Public</v>
      </c>
      <c r="H10" t="str">
        <f>parameter_metadata_original!H8</f>
        <v>Static</v>
      </c>
      <c r="I10">
        <f>parameter_metadata_original!I8</f>
        <v>0</v>
      </c>
      <c r="J10" t="str">
        <f>parameter_metadata_original!J8</f>
        <v>PLS</v>
      </c>
      <c r="K10" t="str">
        <f>parameter_metadata_original!K8</f>
        <v>{"Economic operator" : {"@type":"schema:legalName",  "value": {"@value":"", "@type":"xsd:string"}}}</v>
      </c>
    </row>
    <row r="11" spans="1:11" x14ac:dyDescent="0.2">
      <c r="A11" t="str">
        <f>parameter_metadata_original!A27</f>
        <v>1. General battery and manufacturer information</v>
      </c>
      <c r="B11" t="str">
        <f>parameter_metadata_original!B27</f>
        <v>x</v>
      </c>
      <c r="C11" t="str">
        <f>parameter_metadata_original!C27</f>
        <v>1. General battery and manufacturer information</v>
      </c>
      <c r="D11" t="str">
        <f>parameter_metadata_original!D27</f>
        <v>BESS ID</v>
      </c>
      <c r="E11">
        <v>11</v>
      </c>
      <c r="G11" t="str">
        <f>parameter_metadata_original!G27</f>
        <v>Private</v>
      </c>
      <c r="H11" t="str">
        <f>parameter_metadata_original!H27</f>
        <v>Static</v>
      </c>
      <c r="I11">
        <f>parameter_metadata_original!I27</f>
        <v>1</v>
      </c>
      <c r="J11">
        <f>parameter_metadata_original!J27</f>
        <v>1</v>
      </c>
      <c r="K11" t="str">
        <f>parameter_metadata_original!K27</f>
        <v>{"BESS ID" : {"value":{"@value":"", "@type":"xsd:string"}}}</v>
      </c>
    </row>
    <row r="12" spans="1:11" x14ac:dyDescent="0.2">
      <c r="A12" t="str">
        <f>parameter_metadata_original!A28</f>
        <v>1. General battery and manufacturer information</v>
      </c>
      <c r="B12" t="str">
        <f>parameter_metadata_original!B28</f>
        <v>x</v>
      </c>
      <c r="C12" t="str">
        <f>parameter_metadata_original!C28</f>
        <v>1. General battery and manufacturer information</v>
      </c>
      <c r="D12" t="str">
        <f>parameter_metadata_original!D28</f>
        <v>Module dimension</v>
      </c>
      <c r="E12">
        <v>12</v>
      </c>
      <c r="F12" t="str">
        <f>parameter_metadata_original!F28</f>
        <v>[Height, Width, Depth]</v>
      </c>
      <c r="G12" t="str">
        <f>parameter_metadata_original!G28</f>
        <v>Public</v>
      </c>
      <c r="H12" t="str">
        <f>parameter_metadata_original!H28</f>
        <v>Static</v>
      </c>
      <c r="I12" t="str">
        <f>parameter_metadata_original!I28</f>
        <v>580x200xx110</v>
      </c>
      <c r="J12" t="str">
        <f>parameter_metadata_original!J28</f>
        <v>[580, 200, 110]</v>
      </c>
      <c r="K12" t="str">
        <f>parameter_metadata_original!K28</f>
        <v>{"Module dimension":{"Height"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v>
      </c>
    </row>
    <row r="13" spans="1:11" x14ac:dyDescent="0.2">
      <c r="A13" t="str">
        <f>parameter_metadata_original!A29</f>
        <v>1. General battery and manufacturer information</v>
      </c>
      <c r="B13" t="str">
        <f>parameter_metadata_original!B29</f>
        <v>x</v>
      </c>
      <c r="C13" t="str">
        <f>parameter_metadata_original!C29</f>
        <v>1. General battery and manufacturer information</v>
      </c>
      <c r="D13" t="str">
        <f>parameter_metadata_original!D29</f>
        <v>Module weight</v>
      </c>
      <c r="E13">
        <v>13</v>
      </c>
      <c r="G13" t="str">
        <f>parameter_metadata_original!G29</f>
        <v>Public</v>
      </c>
      <c r="H13" t="str">
        <f>parameter_metadata_original!H29</f>
        <v>Static</v>
      </c>
      <c r="I13">
        <f>parameter_metadata_original!I29</f>
        <v>12.6</v>
      </c>
      <c r="J13">
        <f>parameter_metadata_original!J29</f>
        <v>12.6</v>
      </c>
      <c r="K13" t="str">
        <f>parameter_metadata_original!K29</f>
        <v>{"Module weight" : {"value":{"@value":"", "@type":"xsd:float", "unitCode":"KGM"}}}</v>
      </c>
    </row>
    <row r="14" spans="1:11" x14ac:dyDescent="0.2">
      <c r="A14" t="str">
        <f>parameter_metadata_original!A30</f>
        <v>1. General battery and manufacturer information</v>
      </c>
      <c r="B14" t="str">
        <f>parameter_metadata_original!B30</f>
        <v>x</v>
      </c>
      <c r="C14" t="str">
        <f>parameter_metadata_original!C30</f>
        <v>1. General battery and manufacturer information</v>
      </c>
      <c r="D14" t="str">
        <f>parameter_metadata_original!D30</f>
        <v>Total module weight in pack</v>
      </c>
      <c r="E14">
        <v>14</v>
      </c>
      <c r="G14" t="str">
        <f>parameter_metadata_original!G30</f>
        <v>Public</v>
      </c>
      <c r="H14" t="str">
        <f>parameter_metadata_original!H30</f>
        <v>Static</v>
      </c>
      <c r="I14">
        <f>parameter_metadata_original!I30</f>
        <v>226</v>
      </c>
      <c r="J14">
        <f>parameter_metadata_original!J30</f>
        <v>226</v>
      </c>
      <c r="K14" t="str">
        <f>parameter_metadata_original!K30</f>
        <v>{"Total module weight in pack" : {"value":{"@value":"", "@type":"xsd:float", "unitCode":"KGM"}}}</v>
      </c>
    </row>
    <row r="15" spans="1:11" x14ac:dyDescent="0.2">
      <c r="A15" t="str">
        <f>parameter_metadata_original!A14</f>
        <v>1. General product and manufacturer information</v>
      </c>
      <c r="B15" t="str">
        <f>parameter_metadata_original!B14</f>
        <v>x</v>
      </c>
      <c r="C15" t="str">
        <f>parameter_metadata_original!C14</f>
        <v>1. General product and manufacturer information</v>
      </c>
      <c r="D15" t="str">
        <f>parameter_metadata_original!D14</f>
        <v>Dimensions</v>
      </c>
      <c r="E15">
        <v>15</v>
      </c>
      <c r="F15" t="str">
        <f>parameter_metadata_original!F14</f>
        <v>[Height, Width, Depth]</v>
      </c>
      <c r="G15" t="str">
        <f>parameter_metadata_original!G14</f>
        <v>Public</v>
      </c>
      <c r="H15" t="str">
        <f>parameter_metadata_original!H14</f>
        <v>Static</v>
      </c>
      <c r="I15">
        <f>parameter_metadata_original!I14</f>
        <v>0</v>
      </c>
      <c r="K15" t="str">
        <f>parameter_metadata_original!K14</f>
        <v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v>
      </c>
    </row>
    <row r="16" spans="1:11" x14ac:dyDescent="0.2">
      <c r="A16" t="str">
        <f>parameter_metadata_original!A33</f>
        <v>2. Compliance, labels and certifications</v>
      </c>
      <c r="B16" t="str">
        <f>parameter_metadata_original!B33</f>
        <v>x</v>
      </c>
      <c r="C16" t="str">
        <f>parameter_metadata_original!C33</f>
        <v>2. Compliance, labels and certifications</v>
      </c>
      <c r="D16" t="str">
        <f>parameter_metadata_original!D33</f>
        <v>Results of test reports proving compliance with this Regulation</v>
      </c>
      <c r="E16">
        <v>16</v>
      </c>
      <c r="G16" t="str">
        <f>parameter_metadata_original!G33</f>
        <v>Private</v>
      </c>
      <c r="H16" t="str">
        <f>parameter_metadata_original!H33</f>
        <v>Static</v>
      </c>
      <c r="I16" t="str">
        <f>parameter_metadata_original!I33</f>
        <v>File</v>
      </c>
      <c r="J16" t="str">
        <f>parameter_metadata_original!J33</f>
        <v>File</v>
      </c>
      <c r="K16" t="str">
        <f>parameter_metadata_original!K33</f>
        <v>{"Results of test reports proving compliance with this Regulation" : {"@type":"gs1:pip", "value":{"@value":"", "@type":"xsd:anyURI"}}}</v>
      </c>
    </row>
    <row r="17" spans="1:11" x14ac:dyDescent="0.2">
      <c r="A17" t="str">
        <f>parameter_metadata_original!A34</f>
        <v>3. Carbon footprint</v>
      </c>
      <c r="B17" t="str">
        <f>parameter_metadata_original!B34</f>
        <v>x</v>
      </c>
      <c r="C17" t="str">
        <f>parameter_metadata_original!C34</f>
        <v>3. Carbon footprint</v>
      </c>
      <c r="D17" t="str">
        <f>parameter_metadata_original!D34</f>
        <v>Battery carbon footprint</v>
      </c>
      <c r="E17">
        <v>17</v>
      </c>
      <c r="G17" t="str">
        <f>parameter_metadata_original!G34</f>
        <v>Public</v>
      </c>
      <c r="H17" t="str">
        <f>parameter_metadata_original!H34</f>
        <v>Static</v>
      </c>
      <c r="I17">
        <f>parameter_metadata_original!I34</f>
        <v>10400</v>
      </c>
      <c r="J17">
        <f>parameter_metadata_original!J34</f>
        <v>10400</v>
      </c>
      <c r="K17" t="str">
        <f>parameter_metadata_original!K34</f>
        <v>{"Battery carbon footprint" : {"value":{"@value":"", "@type":"xsd:float"}}}</v>
      </c>
    </row>
    <row r="18" spans="1:11" x14ac:dyDescent="0.2">
      <c r="A18" t="str">
        <f>parameter_metadata_original!A15</f>
        <v>3. Carbon footprint</v>
      </c>
      <c r="B18" t="str">
        <f>parameter_metadata_original!B15</f>
        <v>x</v>
      </c>
      <c r="C18" t="str">
        <f>parameter_metadata_original!C15</f>
        <v>3. Carbon footprint</v>
      </c>
      <c r="D18" t="str">
        <f>parameter_metadata_original!D15</f>
        <v>Carbon footprint (Cradle to gate)</v>
      </c>
      <c r="E18">
        <v>18</v>
      </c>
      <c r="G18" t="str">
        <f>parameter_metadata_original!G15</f>
        <v>Public</v>
      </c>
      <c r="H18" t="str">
        <f>parameter_metadata_original!H15</f>
        <v>Static</v>
      </c>
      <c r="I18">
        <f>parameter_metadata_original!I15</f>
        <v>0</v>
      </c>
      <c r="K18" t="str">
        <f>parameter_metadata_original!K15</f>
        <v>{"Carbon footprint (Cradle to gate)" : {"value":{"@value":"", "@type":"xsd:float"}}}</v>
      </c>
    </row>
    <row r="19" spans="1:11" x14ac:dyDescent="0.2">
      <c r="A19" t="str">
        <f>parameter_metadata_original!A40</f>
        <v>4. Supply Chain Due Diligence</v>
      </c>
      <c r="B19" t="str">
        <f>parameter_metadata_original!B40</f>
        <v>x</v>
      </c>
      <c r="C19" t="str">
        <f>parameter_metadata_original!C40</f>
        <v>4. Supply Chain Due Diligence</v>
      </c>
      <c r="D19" t="str">
        <f>parameter_metadata_original!D40</f>
        <v>Information of the due diligence report</v>
      </c>
      <c r="E19">
        <v>19</v>
      </c>
      <c r="G19" t="str">
        <f>parameter_metadata_original!G40</f>
        <v>Private</v>
      </c>
      <c r="H19" t="str">
        <f>parameter_metadata_original!H40</f>
        <v>Static</v>
      </c>
      <c r="I19" t="str">
        <f>parameter_metadata_original!I40</f>
        <v>File</v>
      </c>
      <c r="J19" t="str">
        <f>parameter_metadata_original!J40</f>
        <v>File</v>
      </c>
      <c r="K19" t="str">
        <f>parameter_metadata_original!K40</f>
        <v>{"Information of the due diligence report" : {"@type":"gs1:pip", "value":{"@value":"", "@type":"xsd:anyURI"}}}</v>
      </c>
    </row>
    <row r="20" spans="1:11" x14ac:dyDescent="0.2">
      <c r="A20" t="str">
        <f>parameter_metadata_original!A41</f>
        <v>5. Battery Material and composition</v>
      </c>
      <c r="B20" t="str">
        <f>parameter_metadata_original!B41</f>
        <v>x</v>
      </c>
      <c r="C20" t="str">
        <f>parameter_metadata_original!C41</f>
        <v>5. Battery Material and composition</v>
      </c>
      <c r="D20" t="str">
        <f>parameter_metadata_original!D41</f>
        <v>Battery chemistry</v>
      </c>
      <c r="E20">
        <v>20</v>
      </c>
      <c r="G20" t="str">
        <f>parameter_metadata_original!G41</f>
        <v>Public</v>
      </c>
      <c r="H20" t="str">
        <f>parameter_metadata_original!H41</f>
        <v>Static</v>
      </c>
      <c r="I20" t="str">
        <f>parameter_metadata_original!I41</f>
        <v>NMC622</v>
      </c>
      <c r="J20" t="str">
        <f>parameter_metadata_original!J41</f>
        <v>NMC622</v>
      </c>
      <c r="K20" t="str">
        <f>parameter_metadata_original!K41</f>
        <v>{"Battery chemistry" : {"value":{"@value":"", "@type":"xsd:string"}}}</v>
      </c>
    </row>
    <row r="21" spans="1:11" x14ac:dyDescent="0.2">
      <c r="A21" t="str">
        <f>parameter_metadata_original!A43</f>
        <v>5. Battery Material and composition</v>
      </c>
      <c r="B21" t="str">
        <f>parameter_metadata_original!B43</f>
        <v>x</v>
      </c>
      <c r="C21" t="str">
        <f>parameter_metadata_original!C43</f>
        <v>5. Battery Material and composition</v>
      </c>
      <c r="D21" t="str">
        <f>parameter_metadata_original!D43</f>
        <v>Hazardous substances, other than Hg, Cd, Pb</v>
      </c>
      <c r="E21">
        <v>21</v>
      </c>
      <c r="G21" t="str">
        <f>parameter_metadata_original!G43</f>
        <v>Public</v>
      </c>
      <c r="H21" t="str">
        <f>parameter_metadata_original!H43</f>
        <v>Static</v>
      </c>
      <c r="I21" t="str">
        <f>parameter_metadata_original!I43</f>
        <v>File</v>
      </c>
      <c r="J21" t="str">
        <f>parameter_metadata_original!J43</f>
        <v>File</v>
      </c>
      <c r="K21" t="str">
        <f>parameter_metadata_original!K43</f>
        <v>{"Hazardous substances, other than Hg, Cd, Pb" : {"@type":"gs1:ReferencedFileTypeCode-HAZARDOUS_SUBSTANCES_DATA", "value": {"@type":"gs1:pip", "value":{"@value":"", "@type":"xsd:anyURI"}}}}</v>
      </c>
    </row>
    <row r="22" spans="1:11" x14ac:dyDescent="0.2">
      <c r="A22" t="str">
        <f>parameter_metadata_original!A18</f>
        <v>5. Battery Material and composition</v>
      </c>
      <c r="B22" t="str">
        <f>parameter_metadata_original!B18</f>
        <v>x</v>
      </c>
      <c r="C22" t="str">
        <f>parameter_metadata_original!C18</f>
        <v>5. Battery Material and composition</v>
      </c>
      <c r="D22" t="str">
        <f>parameter_metadata_original!D18</f>
        <v>Hazardous substances content</v>
      </c>
      <c r="E22">
        <v>22</v>
      </c>
      <c r="G22" t="str">
        <f>parameter_metadata_original!G18</f>
        <v>Public</v>
      </c>
      <c r="H22" t="str">
        <f>parameter_metadata_original!H18</f>
        <v>Static</v>
      </c>
      <c r="I22" t="str">
        <f>parameter_metadata_original!I18</f>
        <v>File</v>
      </c>
      <c r="J22" t="str">
        <f>parameter_metadata_original!J18</f>
        <v>File</v>
      </c>
      <c r="K22" t="str">
        <f>parameter_metadata_original!K18</f>
        <v>{"Hazardous substances content" : {"@type":"gs1:ReferencedFileTypeCode-HAZARDOUS_SUBSTANCES_DATA", "value": {"@type":"gs1:pip", "value":{"@value":"", "@type":"xsd:anyURI"}}}}</v>
      </c>
    </row>
    <row r="23" spans="1:11" x14ac:dyDescent="0.2">
      <c r="A23" t="str">
        <f>parameter_metadata_original!A17</f>
        <v>6. Circularity and resource efficiency</v>
      </c>
      <c r="B23" t="str">
        <f>parameter_metadata_original!B17</f>
        <v>x</v>
      </c>
      <c r="C23" t="str">
        <f>parameter_metadata_original!C17</f>
        <v>6. Circularity and resource efficiency</v>
      </c>
      <c r="D23" t="str">
        <f>parameter_metadata_original!D17</f>
        <v>Recycled content [% of original weight]</v>
      </c>
      <c r="E23">
        <v>23</v>
      </c>
      <c r="G23" t="str">
        <f>parameter_metadata_original!G17</f>
        <v>Public</v>
      </c>
      <c r="H23" t="str">
        <f>parameter_metadata_original!H17</f>
        <v>Static</v>
      </c>
      <c r="I23">
        <f>parameter_metadata_original!I17</f>
        <v>0</v>
      </c>
      <c r="K23" t="str">
        <f>parameter_metadata_original!K17</f>
        <v>{"Recycled content [% of original weight]" : {"value":{"@value":"", "@type":"xsd:float",  "unitCode":"P1"}}}</v>
      </c>
    </row>
    <row r="24" spans="1:11" x14ac:dyDescent="0.2">
      <c r="A24" t="str">
        <f>parameter_metadata_original!A16</f>
        <v>6. Circularity and resource efficiency</v>
      </c>
      <c r="B24" t="str">
        <f>parameter_metadata_original!B16</f>
        <v>x</v>
      </c>
      <c r="C24" t="str">
        <f>parameter_metadata_original!C16</f>
        <v>6. Circularity and resource efficiency</v>
      </c>
      <c r="D24" t="str">
        <f>parameter_metadata_original!D16</f>
        <v>Recycled content [kg]</v>
      </c>
      <c r="E24">
        <v>24</v>
      </c>
      <c r="G24" t="str">
        <f>parameter_metadata_original!G16</f>
        <v>Public</v>
      </c>
      <c r="H24" t="str">
        <f>parameter_metadata_original!H16</f>
        <v>Static</v>
      </c>
      <c r="I24">
        <f>parameter_metadata_original!I16</f>
        <v>0</v>
      </c>
      <c r="K24" t="str">
        <f>parameter_metadata_original!K16</f>
        <v>{"Recycled content [kg]" : {"value":{"@value":"", "@type":"xsd:float", "unitCode":"KGM"}}}</v>
      </c>
    </row>
    <row r="25" spans="1:11" x14ac:dyDescent="0.2">
      <c r="A25" t="str">
        <f>parameter_metadata_original!A19</f>
        <v>6. Circularity and resource efficiency</v>
      </c>
      <c r="B25" t="str">
        <f>parameter_metadata_original!B19</f>
        <v>x</v>
      </c>
      <c r="C25" t="str">
        <f>parameter_metadata_original!C19</f>
        <v>6. Circularity and resource efficiency</v>
      </c>
      <c r="D25" t="str">
        <f>parameter_metadata_original!D19</f>
        <v>The share of renewable content</v>
      </c>
      <c r="E25">
        <v>25</v>
      </c>
      <c r="G25" t="str">
        <f>parameter_metadata_original!G19</f>
        <v>Public</v>
      </c>
      <c r="H25" t="str">
        <f>parameter_metadata_original!H19</f>
        <v>Static</v>
      </c>
      <c r="I25">
        <f>parameter_metadata_original!I19</f>
        <v>0</v>
      </c>
      <c r="K25" t="str">
        <f>parameter_metadata_original!K19</f>
        <v>{"The share of renewable content" : {"value":{"@value":"", "@type":"xsd:float"}}}</v>
      </c>
    </row>
    <row r="26" spans="1:11" x14ac:dyDescent="0.2">
      <c r="A26" t="str">
        <f>parameter_metadata_original!A20</f>
        <v>6. Circularity and resource efficiency</v>
      </c>
      <c r="B26" t="str">
        <f>parameter_metadata_original!B20</f>
        <v>x</v>
      </c>
      <c r="C26" t="str">
        <f>parameter_metadata_original!C20</f>
        <v>6. Circularity and resource efficiency</v>
      </c>
      <c r="D26" t="str">
        <f>parameter_metadata_original!D20</f>
        <v>Contact details for spare parts</v>
      </c>
      <c r="E26">
        <v>26</v>
      </c>
      <c r="G26" t="str">
        <f>parameter_metadata_original!G20</f>
        <v>Public</v>
      </c>
      <c r="H26" t="str">
        <f>parameter_metadata_original!H20</f>
        <v>Static</v>
      </c>
      <c r="I26" t="str">
        <f>parameter_metadata_original!I20</f>
        <v>File</v>
      </c>
      <c r="J26" t="str">
        <f>parameter_metadata_original!J20</f>
        <v>File</v>
      </c>
      <c r="K26" t="str">
        <f>parameter_metadata_original!K20</f>
        <v>{"Contact details for spare parts" : {"@type":"gs1:pip", "value":{"@value":"", "@type":"xsd:anyURI"}}}</v>
      </c>
    </row>
    <row r="27" spans="1:11" x14ac:dyDescent="0.2">
      <c r="A27" t="str">
        <f>parameter_metadata_original!A45</f>
        <v>6. Circularity and resource efficiency</v>
      </c>
      <c r="B27" t="str">
        <f>parameter_metadata_original!B45</f>
        <v>x</v>
      </c>
      <c r="C27" t="str">
        <f>parameter_metadata_original!C45</f>
        <v>6. Circularity and resource efficiency</v>
      </c>
      <c r="D27" t="str">
        <f>parameter_metadata_original!D45</f>
        <v>Pre-consumer recycled nickel share</v>
      </c>
      <c r="E27">
        <v>27</v>
      </c>
      <c r="G27" t="str">
        <f>parameter_metadata_original!G45</f>
        <v>Public</v>
      </c>
      <c r="H27" t="str">
        <f>parameter_metadata_original!H45</f>
        <v>Static</v>
      </c>
      <c r="I27">
        <f>parameter_metadata_original!I45</f>
        <v>10</v>
      </c>
      <c r="J27">
        <f>parameter_metadata_original!J45</f>
        <v>10</v>
      </c>
      <c r="K27" t="str">
        <f>parameter_metadata_original!K45</f>
        <v>{"Pre-consumer recycled nickel share" : {"value":{"@value":"", "@type":"xsd:float",  "unitCode":"P1"}}}</v>
      </c>
    </row>
    <row r="28" spans="1:11" x14ac:dyDescent="0.2">
      <c r="A28" t="str">
        <f>parameter_metadata_original!A46</f>
        <v>6. Circularity and resource efficiency</v>
      </c>
      <c r="B28" t="str">
        <f>parameter_metadata_original!B46</f>
        <v>x</v>
      </c>
      <c r="C28" t="str">
        <f>parameter_metadata_original!C46</f>
        <v>6. Circularity and resource efficiency</v>
      </c>
      <c r="D28" t="str">
        <f>parameter_metadata_original!D46</f>
        <v>Pre-consumer  recycled cobolt share</v>
      </c>
      <c r="E28">
        <v>28</v>
      </c>
      <c r="G28" t="str">
        <f>parameter_metadata_original!G46</f>
        <v>Public</v>
      </c>
      <c r="H28" t="str">
        <f>parameter_metadata_original!H46</f>
        <v>Static</v>
      </c>
      <c r="I28">
        <f>parameter_metadata_original!I46</f>
        <v>10</v>
      </c>
      <c r="J28">
        <f>parameter_metadata_original!J46</f>
        <v>10</v>
      </c>
      <c r="K28" t="str">
        <f>parameter_metadata_original!K46</f>
        <v>{"Pre-consumer  recycled cobolt share" : {"value":{"@value":"", "@type":"xsd:float",  "unitCode":"P1"}}}</v>
      </c>
    </row>
    <row r="29" spans="1:11" x14ac:dyDescent="0.2">
      <c r="A29" t="str">
        <f>parameter_metadata_original!A47</f>
        <v>6. Circularity and resource efficiency</v>
      </c>
      <c r="B29" t="str">
        <f>parameter_metadata_original!B47</f>
        <v>x</v>
      </c>
      <c r="C29" t="str">
        <f>parameter_metadata_original!C47</f>
        <v>6. Circularity and resource efficiency</v>
      </c>
      <c r="D29" t="str">
        <f>parameter_metadata_original!D47</f>
        <v>Pre-consumer recycled lithium share</v>
      </c>
      <c r="E29">
        <v>29</v>
      </c>
      <c r="G29" t="str">
        <f>parameter_metadata_original!G47</f>
        <v>Public</v>
      </c>
      <c r="H29" t="str">
        <f>parameter_metadata_original!H47</f>
        <v>Static</v>
      </c>
      <c r="I29">
        <f>parameter_metadata_original!I47</f>
        <v>10</v>
      </c>
      <c r="J29">
        <f>parameter_metadata_original!J47</f>
        <v>10</v>
      </c>
      <c r="K29" t="str">
        <f>parameter_metadata_original!K47</f>
        <v>{"Pre-consumer recycled lithium share" : {"value":{"@value":"", "@type":"xsd:float",  "unitCode":"P1"}}}</v>
      </c>
    </row>
    <row r="30" spans="1:11" x14ac:dyDescent="0.2">
      <c r="A30" t="str">
        <f>parameter_metadata_original!A48</f>
        <v>6. Circularity and resource efficiency</v>
      </c>
      <c r="B30" t="str">
        <f>parameter_metadata_original!B48</f>
        <v>x</v>
      </c>
      <c r="C30" t="str">
        <f>parameter_metadata_original!C48</f>
        <v>6. Circularity and resource efficiency</v>
      </c>
      <c r="D30" t="str">
        <f>parameter_metadata_original!D48</f>
        <v>Pre-consumer recycled lead share</v>
      </c>
      <c r="E30">
        <v>30</v>
      </c>
      <c r="G30" t="str">
        <f>parameter_metadata_original!G48</f>
        <v>Public</v>
      </c>
      <c r="H30" t="str">
        <f>parameter_metadata_original!H48</f>
        <v>Static</v>
      </c>
      <c r="I30">
        <f>parameter_metadata_original!I48</f>
        <v>10</v>
      </c>
      <c r="J30">
        <f>parameter_metadata_original!J48</f>
        <v>10</v>
      </c>
      <c r="K30" t="str">
        <f>parameter_metadata_original!K48</f>
        <v>{"Pre-consumer recycled lead share" : {"value":{"@value":"", "@type":"xsd:float",  "unitCode":"P1"}}}</v>
      </c>
    </row>
    <row r="31" spans="1:11" x14ac:dyDescent="0.2">
      <c r="A31" t="str">
        <f>parameter_metadata_original!A49</f>
        <v>6. Circularity and resource efficiency</v>
      </c>
      <c r="B31" t="str">
        <f>parameter_metadata_original!B49</f>
        <v>x</v>
      </c>
      <c r="C31" t="str">
        <f>parameter_metadata_original!C49</f>
        <v>6. Circularity and resource efficiency</v>
      </c>
      <c r="D31" t="str">
        <f>parameter_metadata_original!D49</f>
        <v>Post-consumer recycled nickel share</v>
      </c>
      <c r="E31">
        <v>31</v>
      </c>
      <c r="G31" t="str">
        <f>parameter_metadata_original!G49</f>
        <v>Public</v>
      </c>
      <c r="H31" t="str">
        <f>parameter_metadata_original!H49</f>
        <v>Static</v>
      </c>
      <c r="I31">
        <f>parameter_metadata_original!I49</f>
        <v>6</v>
      </c>
      <c r="J31">
        <f>parameter_metadata_original!J49</f>
        <v>6</v>
      </c>
      <c r="K31" t="str">
        <f>parameter_metadata_original!K49</f>
        <v>{"Post-consumer recycled nickel share" : {"value":{"@value":"", "@type":"xsd:float",  "unitCode":"P1"}}}</v>
      </c>
    </row>
    <row r="32" spans="1:11" x14ac:dyDescent="0.2">
      <c r="A32" t="str">
        <f>parameter_metadata_original!A50</f>
        <v>6. Circularity and resource efficiency</v>
      </c>
      <c r="B32" t="str">
        <f>parameter_metadata_original!B50</f>
        <v>x</v>
      </c>
      <c r="C32" t="str">
        <f>parameter_metadata_original!C50</f>
        <v>6. Circularity and resource efficiency</v>
      </c>
      <c r="D32" t="str">
        <f>parameter_metadata_original!D50</f>
        <v>Post-consumer recycled cobolt share</v>
      </c>
      <c r="E32">
        <v>32</v>
      </c>
      <c r="G32" t="str">
        <f>parameter_metadata_original!G50</f>
        <v>Public</v>
      </c>
      <c r="H32" t="str">
        <f>parameter_metadata_original!H50</f>
        <v>Static</v>
      </c>
      <c r="I32">
        <f>parameter_metadata_original!I50</f>
        <v>16</v>
      </c>
      <c r="J32">
        <f>parameter_metadata_original!J50</f>
        <v>16</v>
      </c>
      <c r="K32" t="str">
        <f>parameter_metadata_original!K50</f>
        <v>{"Post-consumer recycled cobolt share" : {"value":{"@value":"", "@type":"xsd:float",  "unitCode":"P1"}}}</v>
      </c>
    </row>
    <row r="33" spans="1:11" x14ac:dyDescent="0.2">
      <c r="A33" t="str">
        <f>parameter_metadata_original!A51</f>
        <v>6. Circularity and resource efficiency</v>
      </c>
      <c r="B33" t="str">
        <f>parameter_metadata_original!B51</f>
        <v>x</v>
      </c>
      <c r="C33" t="str">
        <f>parameter_metadata_original!C51</f>
        <v>6. Circularity and resource efficiency</v>
      </c>
      <c r="D33" t="str">
        <f>parameter_metadata_original!D51</f>
        <v>Post-consumer recycled lithium share</v>
      </c>
      <c r="E33">
        <v>33</v>
      </c>
      <c r="G33" t="str">
        <f>parameter_metadata_original!G51</f>
        <v>Public</v>
      </c>
      <c r="H33" t="str">
        <f>parameter_metadata_original!H51</f>
        <v>Static</v>
      </c>
      <c r="I33">
        <f>parameter_metadata_original!I51</f>
        <v>6</v>
      </c>
      <c r="J33">
        <f>parameter_metadata_original!J51</f>
        <v>6</v>
      </c>
      <c r="K33" t="str">
        <f>parameter_metadata_original!K51</f>
        <v>{"Post-consumer recycled lithium share" : {"value":{"@value":"", "@type":"xsd:float",  "unitCode":"P1"}}}</v>
      </c>
    </row>
    <row r="34" spans="1:11" x14ac:dyDescent="0.2">
      <c r="A34" t="str">
        <f>parameter_metadata_original!A52</f>
        <v>6. Circularity and resource efficiency</v>
      </c>
      <c r="B34" t="str">
        <f>parameter_metadata_original!B52</f>
        <v>x</v>
      </c>
      <c r="C34" t="str">
        <f>parameter_metadata_original!C52</f>
        <v>6. Circularity and resource efficiency</v>
      </c>
      <c r="D34" t="str">
        <f>parameter_metadata_original!D52</f>
        <v>Post-consumer recycled lead share</v>
      </c>
      <c r="E34">
        <v>34</v>
      </c>
      <c r="G34" t="str">
        <f>parameter_metadata_original!G52</f>
        <v>Public</v>
      </c>
      <c r="H34" t="str">
        <f>parameter_metadata_original!H52</f>
        <v>Static</v>
      </c>
      <c r="I34">
        <f>parameter_metadata_original!I52</f>
        <v>85</v>
      </c>
      <c r="J34">
        <f>parameter_metadata_original!J52</f>
        <v>85</v>
      </c>
      <c r="K34" t="str">
        <f>parameter_metadata_original!K52</f>
        <v>{"Post-consumer recycled lead share" : {"value":{"@value":"", "@type":"xsd:float",  "unitCode":"P1"}}}</v>
      </c>
    </row>
    <row r="35" spans="1:11" x14ac:dyDescent="0.2">
      <c r="A35" t="str">
        <f>parameter_metadata_original!A53</f>
        <v>6. Circularity and resource efficiency</v>
      </c>
      <c r="B35" t="str">
        <f>parameter_metadata_original!B53</f>
        <v>x</v>
      </c>
      <c r="C35" t="str">
        <f>parameter_metadata_original!C53</f>
        <v>6. Circularity and resource efficiency</v>
      </c>
      <c r="D35" t="str">
        <f>parameter_metadata_original!D53</f>
        <v>Renewable content share</v>
      </c>
      <c r="E35">
        <v>35</v>
      </c>
      <c r="G35" t="str">
        <f>parameter_metadata_original!G53</f>
        <v>Public</v>
      </c>
      <c r="H35" t="str">
        <f>parameter_metadata_original!H53</f>
        <v>Static</v>
      </c>
      <c r="I35">
        <f>parameter_metadata_original!I53</f>
        <v>0</v>
      </c>
      <c r="K35" t="str">
        <f>parameter_metadata_original!K53</f>
        <v>{"Renewable content share" : {"value":{"@value":"", "@type":"xsd:float",  "unitCode":"P1"}}}</v>
      </c>
    </row>
    <row r="36" spans="1:11" x14ac:dyDescent="0.2">
      <c r="A36" t="str">
        <f>parameter_metadata_original!A59</f>
        <v>6. Circularity and resource efficiency</v>
      </c>
      <c r="B36" t="str">
        <f>parameter_metadata_original!B59</f>
        <v>x</v>
      </c>
      <c r="C36" t="str">
        <f>parameter_metadata_original!C59</f>
        <v>6. Circularity and resource efficiency</v>
      </c>
      <c r="D36" t="str">
        <f>parameter_metadata_original!D59</f>
        <v>Part numbers for spare parts components</v>
      </c>
      <c r="E36">
        <v>36</v>
      </c>
      <c r="G36" t="str">
        <f>parameter_metadata_original!G59</f>
        <v>Private</v>
      </c>
      <c r="H36" t="str">
        <f>parameter_metadata_original!H59</f>
        <v>Static</v>
      </c>
      <c r="I36" t="str">
        <f>parameter_metadata_original!I59</f>
        <v>Link</v>
      </c>
      <c r="J36" t="str">
        <f>parameter_metadata_original!J59</f>
        <v>Link</v>
      </c>
      <c r="K36" t="str">
        <f>parameter_metadata_original!K59</f>
        <v>{"Part numbers for spare parts components" : {"@type":"gs1:pip", "value":{"@value":"", "@type":"xsd:anyURI"}}}</v>
      </c>
    </row>
    <row r="37" spans="1:11" x14ac:dyDescent="0.2">
      <c r="A37" t="str">
        <f>parameter_metadata_original!A60</f>
        <v>6. Circularity and resource efficiency</v>
      </c>
      <c r="B37" t="str">
        <f>parameter_metadata_original!B60</f>
        <v>x</v>
      </c>
      <c r="C37" t="str">
        <f>parameter_metadata_original!C60</f>
        <v>6. Circularity and resource efficiency</v>
      </c>
      <c r="D37" t="str">
        <f>parameter_metadata_original!D60</f>
        <v>Information on sources of spare parts</v>
      </c>
      <c r="E37">
        <v>37</v>
      </c>
      <c r="G37" t="str">
        <f>parameter_metadata_original!G60</f>
        <v>Private</v>
      </c>
      <c r="H37" t="str">
        <f>parameter_metadata_original!H60</f>
        <v>Static</v>
      </c>
      <c r="I37">
        <f>parameter_metadata_original!I60</f>
        <v>0</v>
      </c>
      <c r="K37" t="str">
        <f>parameter_metadata_original!K60</f>
        <v>{"Information on sources of spare parts" : {"value":{"@value":"", "@type":"xsd:string"}}}</v>
      </c>
    </row>
    <row r="38" spans="1:11" x14ac:dyDescent="0.2">
      <c r="A38" t="str">
        <f>parameter_metadata_original!A61</f>
        <v>6. Circularity and resource efficiency</v>
      </c>
      <c r="B38" t="str">
        <f>parameter_metadata_original!B61</f>
        <v>x</v>
      </c>
      <c r="C38" t="str">
        <f>parameter_metadata_original!C61</f>
        <v>6. Circularity and resource efficiency</v>
      </c>
      <c r="D38" t="str">
        <f>parameter_metadata_original!D61</f>
        <v>Dismantling information</v>
      </c>
      <c r="E38">
        <v>38</v>
      </c>
      <c r="G38" t="str">
        <f>parameter_metadata_original!G61</f>
        <v>Private</v>
      </c>
      <c r="H38" t="str">
        <f>parameter_metadata_original!H61</f>
        <v>Static</v>
      </c>
      <c r="I38" t="str">
        <f>parameter_metadata_original!I61</f>
        <v>Link</v>
      </c>
      <c r="J38" t="str">
        <f>parameter_metadata_original!J61</f>
        <v>Link</v>
      </c>
      <c r="K38" t="str">
        <f>parameter_metadata_original!K61</f>
        <v>{"Dismantling information" : {"@type":"gs1:pip", "value":{"@value":"", "@type":"xsd:anyURI"}}}</v>
      </c>
    </row>
    <row r="39" spans="1:11" x14ac:dyDescent="0.2">
      <c r="A39" t="str">
        <f>parameter_metadata_original!A62</f>
        <v>6. Circularity and resource efficiency</v>
      </c>
      <c r="B39" t="str">
        <f>parameter_metadata_original!B62</f>
        <v>x</v>
      </c>
      <c r="C39" t="str">
        <f>parameter_metadata_original!C62</f>
        <v>6. Circularity and resource efficiency</v>
      </c>
      <c r="D39" t="str">
        <f>parameter_metadata_original!D62</f>
        <v>Safety measures/instructions</v>
      </c>
      <c r="E39">
        <v>39</v>
      </c>
      <c r="G39" t="str">
        <f>parameter_metadata_original!G62</f>
        <v>Private</v>
      </c>
      <c r="H39" t="str">
        <f>parameter_metadata_original!H62</f>
        <v>Static</v>
      </c>
      <c r="I39" t="str">
        <f>parameter_metadata_original!I62</f>
        <v>Link</v>
      </c>
      <c r="J39" t="str">
        <f>parameter_metadata_original!J62</f>
        <v>Link</v>
      </c>
      <c r="K39" t="str">
        <f>parameter_metadata_original!K62</f>
        <v>{"Safety measures/instructions" : {"@type":"gs1:pip", "value":{"@value":"", "@type":"xsd:anyURI"}}}</v>
      </c>
    </row>
    <row r="40" spans="1:11" x14ac:dyDescent="0.2">
      <c r="A40" t="str">
        <f>parameter_metadata_original!A63</f>
        <v>7. Performance</v>
      </c>
      <c r="B40" t="str">
        <f>parameter_metadata_original!B63</f>
        <v>x</v>
      </c>
      <c r="C40" t="str">
        <f>parameter_metadata_original!C63</f>
        <v>7. Performance</v>
      </c>
      <c r="D40" t="str">
        <f>parameter_metadata_original!D63</f>
        <v>Rated Capacity</v>
      </c>
      <c r="E40">
        <v>40</v>
      </c>
      <c r="G40" t="str">
        <f>parameter_metadata_original!G63</f>
        <v>Public</v>
      </c>
      <c r="H40" t="str">
        <f>parameter_metadata_original!H63</f>
        <v>Static</v>
      </c>
      <c r="I40">
        <f>parameter_metadata_original!I63</f>
        <v>103</v>
      </c>
      <c r="J40">
        <f>parameter_metadata_original!J63</f>
        <v>103</v>
      </c>
      <c r="K40" t="str">
        <f>parameter_metadata_original!K63</f>
        <v>{"Rated Capacity" : {"@type":"gs1:Power", "value":{"@value":"", "@type":"xsd:float", "unitCode":"KWH"}}}</v>
      </c>
    </row>
    <row r="41" spans="1:11" x14ac:dyDescent="0.2">
      <c r="A41" t="str">
        <f>parameter_metadata_original!A64</f>
        <v>7. Performance</v>
      </c>
      <c r="B41" t="str">
        <f>parameter_metadata_original!B64</f>
        <v>x</v>
      </c>
      <c r="C41" t="str">
        <f>parameter_metadata_original!C64</f>
        <v>7. Performance</v>
      </c>
      <c r="D41" t="str">
        <f>parameter_metadata_original!D64</f>
        <v>Certified Useable Battery Energy BoL</v>
      </c>
      <c r="E41">
        <v>41</v>
      </c>
      <c r="G41" t="str">
        <f>parameter_metadata_original!G64</f>
        <v>Public</v>
      </c>
      <c r="H41" t="str">
        <f>parameter_metadata_original!H64</f>
        <v>Static</v>
      </c>
      <c r="I41">
        <f>parameter_metadata_original!I64</f>
        <v>88</v>
      </c>
      <c r="J41">
        <f>parameter_metadata_original!J64</f>
        <v>88</v>
      </c>
      <c r="K41" t="str">
        <f>parameter_metadata_original!K64</f>
        <v>{"Certified Useable Battery Energy BoL" : {"@type":"gs1:Power", "value":{"@value":"", "@type":"xsd:float", "unitCode":"KWH"}}}</v>
      </c>
    </row>
    <row r="42" spans="1:11" x14ac:dyDescent="0.2">
      <c r="A42" t="str">
        <f>parameter_metadata_original!A65</f>
        <v>7. Performance</v>
      </c>
      <c r="B42" t="str">
        <f>parameter_metadata_original!B65</f>
        <v>x</v>
      </c>
      <c r="C42" t="str">
        <f>parameter_metadata_original!C65</f>
        <v>7. Performance</v>
      </c>
      <c r="D42" t="str">
        <f>parameter_metadata_original!D65</f>
        <v>Min, Nominal and Max voltage</v>
      </c>
      <c r="E42">
        <v>42</v>
      </c>
      <c r="F42" t="str">
        <f>parameter_metadata_original!F65</f>
        <v>[Min, Nominal, Max]</v>
      </c>
      <c r="G42" t="str">
        <f>parameter_metadata_original!G65</f>
        <v>Public</v>
      </c>
      <c r="H42" t="str">
        <f>parameter_metadata_original!H65</f>
        <v>Static</v>
      </c>
      <c r="I42" t="str">
        <f>parameter_metadata_original!I65</f>
        <v>Min: 3,2 V
Nominal: 3,7 V
Max: 4,15 V</v>
      </c>
      <c r="J42" t="str">
        <f>parameter_metadata_original!J65</f>
        <v>[3.2,3.7,4.15]</v>
      </c>
      <c r="K42" t="str">
        <f>parameter_metadata_original!K65</f>
        <v>{"Min, Nominal and Max voltage":{"Min" : {"@type":"gs1:Voltage", "value":{"@value":"", "@type":"xsd:float", "unitCode": "VLT"}}, "Nominal" : {"@type":"gs1:Voltage", "value":{"@value":"", "@type":"xsd:float", "unitCode": "VLT"}}, "Max" : {"@type":"gs1:Voltage", "value":{"@value":"", "@type":"xsd:float", "unitCode": "VLT"}}}}</v>
      </c>
    </row>
    <row r="43" spans="1:11" x14ac:dyDescent="0.2">
      <c r="A43" t="str">
        <f>parameter_metadata_original!A66</f>
        <v>7. Performance</v>
      </c>
      <c r="B43" t="str">
        <f>parameter_metadata_original!B66</f>
        <v>x</v>
      </c>
      <c r="C43" t="str">
        <f>parameter_metadata_original!C66</f>
        <v>7. Performance</v>
      </c>
      <c r="D43" t="str">
        <f>parameter_metadata_original!D66</f>
        <v>Original power capability and limits</v>
      </c>
      <c r="E43">
        <v>43</v>
      </c>
      <c r="G43" t="str">
        <f>parameter_metadata_original!G66</f>
        <v>Public</v>
      </c>
      <c r="H43" t="str">
        <f>parameter_metadata_original!H66</f>
        <v>Static</v>
      </c>
      <c r="I43">
        <f>parameter_metadata_original!I66</f>
        <v>22000</v>
      </c>
      <c r="J43">
        <f>parameter_metadata_original!J66</f>
        <v>22000</v>
      </c>
      <c r="K43" t="str">
        <f>parameter_metadata_original!K66</f>
        <v>{"Original power capability and limits" : {"@type":"gs1:Power", "value":{"@value":"", "@type":"xsd:float", "unitCode":"KWH"}}}</v>
      </c>
    </row>
    <row r="44" spans="1:11" x14ac:dyDescent="0.2">
      <c r="A44" t="str">
        <f>parameter_metadata_original!A68</f>
        <v>7. Performance</v>
      </c>
      <c r="B44" t="str">
        <f>parameter_metadata_original!B68</f>
        <v>x</v>
      </c>
      <c r="C44" t="str">
        <f>parameter_metadata_original!C68</f>
        <v>7. Performance</v>
      </c>
      <c r="D44" t="str">
        <f>parameter_metadata_original!D68</f>
        <v>Ratio between nominal battery power and battery energy</v>
      </c>
      <c r="E44">
        <v>44</v>
      </c>
      <c r="G44" t="str">
        <f>parameter_metadata_original!G68</f>
        <v>Public</v>
      </c>
      <c r="H44" t="str">
        <f>parameter_metadata_original!H68</f>
        <v>Static</v>
      </c>
      <c r="I44">
        <f>parameter_metadata_original!I68</f>
        <v>22</v>
      </c>
      <c r="J44">
        <f>parameter_metadata_original!J68</f>
        <v>22</v>
      </c>
      <c r="K44" t="str">
        <f>parameter_metadata_original!K68</f>
        <v>{"Ratio between nominal battery power and battery energy" : {"value":{"@value":"", "@type":"xsd:float"}}}</v>
      </c>
    </row>
    <row r="45" spans="1:11" x14ac:dyDescent="0.2">
      <c r="A45" t="str">
        <f>parameter_metadata_original!A69</f>
        <v>7. Performance</v>
      </c>
      <c r="B45" t="str">
        <f>parameter_metadata_original!B69</f>
        <v>x</v>
      </c>
      <c r="C45" t="str">
        <f>parameter_metadata_original!C69</f>
        <v>7. Performance</v>
      </c>
      <c r="D45" t="str">
        <f>parameter_metadata_original!D69</f>
        <v>Initial self-discharging rate</v>
      </c>
      <c r="E45">
        <v>45</v>
      </c>
      <c r="G45" t="str">
        <f>parameter_metadata_original!G69</f>
        <v>Private</v>
      </c>
      <c r="H45" t="str">
        <f>parameter_metadata_original!H69</f>
        <v>Static</v>
      </c>
      <c r="I45">
        <f>parameter_metadata_original!I69</f>
        <v>1.0000000000000001E-5</v>
      </c>
      <c r="J45">
        <f>parameter_metadata_original!J69</f>
        <v>1.0000000000000001E-5</v>
      </c>
      <c r="K45" t="str">
        <f>parameter_metadata_original!K69</f>
        <v>{"Initial self-discharging rate" : {"value":{"@value":"", "@type":"xsd:float"}}}</v>
      </c>
    </row>
    <row r="46" spans="1:11" x14ac:dyDescent="0.2">
      <c r="A46" t="str">
        <f>parameter_metadata_original!A70</f>
        <v>7. Performance</v>
      </c>
      <c r="B46" t="str">
        <f>parameter_metadata_original!B70</f>
        <v>x</v>
      </c>
      <c r="C46" t="str">
        <f>parameter_metadata_original!C70</f>
        <v>7. Performance</v>
      </c>
      <c r="D46" t="str">
        <f>parameter_metadata_original!D70</f>
        <v>Initial internal resistance on cell level</v>
      </c>
      <c r="E46">
        <v>46</v>
      </c>
      <c r="G46" t="str">
        <f>parameter_metadata_original!G70</f>
        <v>Public</v>
      </c>
      <c r="H46" t="str">
        <f>parameter_metadata_original!H70</f>
        <v>Static</v>
      </c>
      <c r="I46" t="str">
        <f>parameter_metadata_original!I70</f>
        <v>N/A</v>
      </c>
      <c r="J46" t="str">
        <f>parameter_metadata_original!J70</f>
        <v>N/A</v>
      </c>
      <c r="K46" t="str">
        <f>parameter_metadata_original!K70</f>
        <v>{"Initial internal resistance on cell level" : {"@type":"gs1:Power", "value":{"@value":"", "@type":"xsd:float", "unitCode":"E45"}}}</v>
      </c>
    </row>
    <row r="47" spans="1:11" x14ac:dyDescent="0.2">
      <c r="A47" t="str">
        <f>parameter_metadata_original!A73</f>
        <v>7. Performance</v>
      </c>
      <c r="B47" t="str">
        <f>parameter_metadata_original!B73</f>
        <v>x</v>
      </c>
      <c r="C47" t="str">
        <f>parameter_metadata_original!C73</f>
        <v>7. Performance</v>
      </c>
      <c r="D47" t="str">
        <f>parameter_metadata_original!D73</f>
        <v>Intial round trip energy efficiency</v>
      </c>
      <c r="E47">
        <v>47</v>
      </c>
      <c r="G47" t="str">
        <f>parameter_metadata_original!G73</f>
        <v>Public</v>
      </c>
      <c r="H47" t="str">
        <f>parameter_metadata_original!H73</f>
        <v>Static</v>
      </c>
      <c r="I47">
        <f>parameter_metadata_original!I73</f>
        <v>85</v>
      </c>
      <c r="J47">
        <f>parameter_metadata_original!J73</f>
        <v>85</v>
      </c>
      <c r="K47" t="str">
        <f>parameter_metadata_original!K73</f>
        <v>{"Intial round trip energy efficiency" : {"value":{"@value":"", "@type":"xsd:float"}}}</v>
      </c>
    </row>
    <row r="48" spans="1:11" x14ac:dyDescent="0.2">
      <c r="A48" t="str">
        <f>parameter_metadata_original!A87</f>
        <v>8. Durability</v>
      </c>
      <c r="B48" t="str">
        <f>parameter_metadata_original!B87</f>
        <v>x</v>
      </c>
      <c r="C48" t="str">
        <f>parameter_metadata_original!C87</f>
        <v>8. Durability</v>
      </c>
      <c r="D48" t="str">
        <f>parameter_metadata_original!D87</f>
        <v>Expected lifetime: Number of charge-discharge cycles</v>
      </c>
      <c r="E48">
        <v>48</v>
      </c>
      <c r="G48" t="str">
        <f>parameter_metadata_original!G87</f>
        <v>Public</v>
      </c>
      <c r="H48" t="str">
        <f>parameter_metadata_original!H87</f>
        <v>Static</v>
      </c>
      <c r="I48">
        <f>parameter_metadata_original!I87</f>
        <v>10000</v>
      </c>
      <c r="J48">
        <f>parameter_metadata_original!J87</f>
        <v>10000</v>
      </c>
      <c r="K48" t="str">
        <f>parameter_metadata_original!K87</f>
        <v>{"Expected lifetime: Number of charge-discharge cycles" : {"value":{"@value":"", "@type":"xsd:float"}}}</v>
      </c>
    </row>
    <row r="49" spans="1:11" x14ac:dyDescent="0.2">
      <c r="A49" t="str">
        <f>parameter_metadata_original!A89</f>
        <v>8. Durability</v>
      </c>
      <c r="B49" t="str">
        <f>parameter_metadata_original!B89</f>
        <v>x</v>
      </c>
      <c r="C49" t="str">
        <f>parameter_metadata_original!C89</f>
        <v>8. Durability</v>
      </c>
      <c r="D49" t="str">
        <f>parameter_metadata_original!D89</f>
        <v>C-rate of relevant cycle-life test</v>
      </c>
      <c r="E49">
        <v>49</v>
      </c>
      <c r="G49" t="str">
        <f>parameter_metadata_original!G89</f>
        <v>Public</v>
      </c>
      <c r="H49" t="str">
        <f>parameter_metadata_original!H89</f>
        <v>Static</v>
      </c>
      <c r="I49">
        <f>parameter_metadata_original!I89</f>
        <v>0.3</v>
      </c>
      <c r="J49">
        <f>parameter_metadata_original!J89</f>
        <v>0.3</v>
      </c>
      <c r="K49" t="str">
        <f>parameter_metadata_original!K89</f>
        <v>{"C-rate of relevant cycle-life test" : {"value":{"@value":"", "@type":"xsd:float"}}}</v>
      </c>
    </row>
    <row r="50" spans="1:11" x14ac:dyDescent="0.2">
      <c r="A50" t="str">
        <f>parameter_metadata_original!A90</f>
        <v>8. Durability</v>
      </c>
      <c r="B50" t="str">
        <f>parameter_metadata_original!B90</f>
        <v>x</v>
      </c>
      <c r="C50" t="str">
        <f>parameter_metadata_original!C90</f>
        <v>8. Durability</v>
      </c>
      <c r="D50" t="str">
        <f>parameter_metadata_original!D90</f>
        <v>Warranty period of the battery</v>
      </c>
      <c r="E50">
        <v>50</v>
      </c>
      <c r="G50" t="str">
        <f>parameter_metadata_original!G90</f>
        <v>Public</v>
      </c>
      <c r="H50" t="str">
        <f>parameter_metadata_original!H90</f>
        <v>Static</v>
      </c>
      <c r="I50">
        <f>parameter_metadata_original!I90</f>
        <v>10</v>
      </c>
      <c r="J50">
        <f>parameter_metadata_original!J90</f>
        <v>10</v>
      </c>
      <c r="K50" t="str">
        <f>parameter_metadata_original!K90</f>
        <v>{"Warranty period of the battery" : {"value":{"@value":"", "@type":"xsd:float"}}}</v>
      </c>
    </row>
    <row r="51" spans="1:11" x14ac:dyDescent="0.2">
      <c r="A51" t="str">
        <f>parameter_metadata_original!A92</f>
        <v>8. Durability</v>
      </c>
      <c r="B51" t="str">
        <f>parameter_metadata_original!B92</f>
        <v>x</v>
      </c>
      <c r="C51" t="str">
        <f>parameter_metadata_original!C92</f>
        <v>8. Durability</v>
      </c>
      <c r="D51" t="str">
        <f>parameter_metadata_original!D92</f>
        <v>Results of tests reports</v>
      </c>
      <c r="E51">
        <v>51</v>
      </c>
      <c r="G51" t="str">
        <f>parameter_metadata_original!G92</f>
        <v>Private</v>
      </c>
      <c r="H51" t="str">
        <f>parameter_metadata_original!H92</f>
        <v>Static</v>
      </c>
      <c r="I51" t="str">
        <f>parameter_metadata_original!I92</f>
        <v>Link</v>
      </c>
      <c r="J51" t="str">
        <f>parameter_metadata_original!J92</f>
        <v>Link</v>
      </c>
      <c r="K51" t="str">
        <f>parameter_metadata_original!K92</f>
        <v>{"Results of tests reports" : {"@type":"gs1:pip", "value":{"@value":"", "@type":"xsd:anyURI"}}}</v>
      </c>
    </row>
    <row r="52" spans="1:11" x14ac:dyDescent="0.2">
      <c r="A52" t="str">
        <f>parameter_metadata_original!A94</f>
        <v>8. Durability</v>
      </c>
      <c r="B52" t="str">
        <f>parameter_metadata_original!B94</f>
        <v>x</v>
      </c>
      <c r="C52" t="str">
        <f>parameter_metadata_original!C94</f>
        <v>8. Durability</v>
      </c>
      <c r="D52" t="str">
        <f>parameter_metadata_original!D94</f>
        <v>Date of putting into service</v>
      </c>
      <c r="E52">
        <v>52</v>
      </c>
      <c r="G52" t="str">
        <f>parameter_metadata_original!G94</f>
        <v>Private</v>
      </c>
      <c r="H52" t="str">
        <f>parameter_metadata_original!H94</f>
        <v>Static</v>
      </c>
      <c r="I52">
        <f>parameter_metadata_original!I94</f>
        <v>240603</v>
      </c>
      <c r="J52">
        <f>parameter_metadata_original!J94</f>
        <v>240603</v>
      </c>
      <c r="K52" t="str">
        <f>parameter_metadata_original!K94</f>
        <v>{"Date of putting into service" : {"value":{"@value":"", "@type":"xsd:dateTime"}}}</v>
      </c>
    </row>
    <row r="53" spans="1:11" x14ac:dyDescent="0.2">
      <c r="A53" t="str">
        <f>parameter_metadata_original!A9</f>
        <v>9. Product Updates</v>
      </c>
      <c r="B53" t="str">
        <f>parameter_metadata_original!B9</f>
        <v>x</v>
      </c>
      <c r="C53" t="str">
        <f>parameter_metadata_original!C9</f>
        <v>9. Product Updates</v>
      </c>
      <c r="D53" t="str">
        <f>parameter_metadata_original!D9</f>
        <v>Update ID</v>
      </c>
      <c r="E53">
        <v>53</v>
      </c>
      <c r="G53" t="str">
        <f>parameter_metadata_original!G9</f>
        <v>public</v>
      </c>
      <c r="H53" t="str">
        <f>parameter_metadata_original!H9</f>
        <v>Dynamic</v>
      </c>
      <c r="I53">
        <f>parameter_metadata_original!I9</f>
        <v>1.1000000000000001</v>
      </c>
      <c r="J53">
        <f>parameter_metadata_original!J9</f>
        <v>1.1000000000000001</v>
      </c>
      <c r="K53" t="str">
        <f>parameter_metadata_original!K9</f>
        <v>{"Update ID" : { "value": {"@value":"", "@type":"xsd:string"}}}</v>
      </c>
    </row>
    <row r="54" spans="1:11" x14ac:dyDescent="0.2">
      <c r="A54" t="str">
        <f>parameter_metadata_original!A10</f>
        <v>9. Product Updates</v>
      </c>
      <c r="B54" t="str">
        <f>parameter_metadata_original!B10</f>
        <v>x</v>
      </c>
      <c r="C54" t="str">
        <f>parameter_metadata_original!C10</f>
        <v>9. Product Updates</v>
      </c>
      <c r="D54" t="str">
        <f>parameter_metadata_original!D10</f>
        <v>DPP Update Timestamp</v>
      </c>
      <c r="E54">
        <v>54</v>
      </c>
      <c r="G54" t="str">
        <f>parameter_metadata_original!G10</f>
        <v>Public</v>
      </c>
      <c r="H54" t="str">
        <f>parameter_metadata_original!H10</f>
        <v>Dynamic</v>
      </c>
      <c r="I54">
        <f>parameter_metadata_original!I10</f>
        <v>0</v>
      </c>
      <c r="K54" t="str">
        <f>parameter_metadata_original!K10</f>
        <v>{"DPP Update Timestamp" : {"@type":"schema:startTime", "value":{"@type":"schema:DateTime", "value": {"@value":"", "@type":"xsd:dateTime"}}}}</v>
      </c>
    </row>
    <row r="55" spans="1:11" x14ac:dyDescent="0.2">
      <c r="A55" t="str">
        <f>parameter_metadata_original!A11</f>
        <v>9. Product Updates</v>
      </c>
      <c r="B55" t="str">
        <f>parameter_metadata_original!B11</f>
        <v>x</v>
      </c>
      <c r="C55" t="str">
        <f>parameter_metadata_original!C11</f>
        <v>9. Product Updates</v>
      </c>
      <c r="D55" t="str">
        <f>parameter_metadata_original!D11</f>
        <v>DPP Update Reason</v>
      </c>
      <c r="E55">
        <v>55</v>
      </c>
      <c r="G55" t="str">
        <f>parameter_metadata_original!G11</f>
        <v>Public</v>
      </c>
      <c r="H55" t="str">
        <f>parameter_metadata_original!H11</f>
        <v>Dynamic</v>
      </c>
      <c r="I55">
        <f>parameter_metadata_original!I11</f>
        <v>0</v>
      </c>
      <c r="K55" t="str">
        <f>parameter_metadata_original!K11</f>
        <v>{"DPP Update Reason" :  {"@type":"schema:description", "value":{"@type":"schema:Text", "value": {"@value":"", "@type":"xsd:string"}}}}</v>
      </c>
    </row>
    <row r="56" spans="1:11" x14ac:dyDescent="0.2">
      <c r="A56" t="str">
        <f>parameter_metadata_original!A12</f>
        <v>9. Product Updates</v>
      </c>
      <c r="B56" t="str">
        <f>parameter_metadata_original!B12</f>
        <v>x</v>
      </c>
      <c r="C56" t="str">
        <f>parameter_metadata_original!C12</f>
        <v>9. Product Updates</v>
      </c>
      <c r="D56" t="str">
        <f>parameter_metadata_original!D12</f>
        <v>DPP Update Responsible</v>
      </c>
      <c r="E56">
        <v>56</v>
      </c>
      <c r="G56" t="str">
        <f>parameter_metadata_original!G12</f>
        <v>Public</v>
      </c>
      <c r="H56" t="str">
        <f>parameter_metadata_original!H12</f>
        <v>Dynamic</v>
      </c>
      <c r="I56">
        <f>parameter_metadata_original!I12</f>
        <v>0</v>
      </c>
      <c r="J56" t="str">
        <f>parameter_metadata_original!J12</f>
        <v>PLS</v>
      </c>
      <c r="K56" t="str">
        <f>parameter_metadata_original!K12</f>
        <v>{"DPP Update Responsible" :  {"@type":"schema:Organization", "value":{"@type":"schema:legalName", "value": {"@value":"", "@type":"xsd:string"}}}}</v>
      </c>
    </row>
    <row r="57" spans="1:11" x14ac:dyDescent="0.2">
      <c r="A57" t="str">
        <f>parameter_metadata_original!A23</f>
        <v>9. Product Updates</v>
      </c>
      <c r="B57" t="str">
        <f>parameter_metadata_original!B23</f>
        <v>x</v>
      </c>
      <c r="C57" t="str">
        <f>parameter_metadata_original!C23</f>
        <v>9. Product Updates</v>
      </c>
      <c r="D57" t="str">
        <f>parameter_metadata_original!D23</f>
        <v>Battery status</v>
      </c>
      <c r="E57">
        <v>57</v>
      </c>
      <c r="G57" t="str">
        <f>parameter_metadata_original!G23</f>
        <v>Public</v>
      </c>
      <c r="H57" t="str">
        <f>parameter_metadata_original!H23</f>
        <v>Dynamic</v>
      </c>
      <c r="I57" t="str">
        <f>parameter_metadata_original!I23</f>
        <v>Repurposed</v>
      </c>
      <c r="J57" t="str">
        <f>parameter_metadata_original!J23</f>
        <v>Repurposed</v>
      </c>
      <c r="K57" t="str">
        <f>parameter_metadata_original!K23</f>
        <v>{"Battery status" : {"value":{"@value":"", "@type":"xsd:string"}}}</v>
      </c>
    </row>
    <row r="58" spans="1:11" x14ac:dyDescent="0.2">
      <c r="A58" t="str">
        <f>parameter_metadata_original!A13</f>
        <v>9. Product Updates</v>
      </c>
      <c r="B58" t="str">
        <f>parameter_metadata_original!B13</f>
        <v>x</v>
      </c>
      <c r="C58" t="str">
        <f>parameter_metadata_original!C13</f>
        <v>9. Product Updates</v>
      </c>
      <c r="D58" t="str">
        <f>parameter_metadata_original!D13</f>
        <v>Original weight</v>
      </c>
      <c r="E58">
        <v>58</v>
      </c>
      <c r="G58" t="str">
        <f>parameter_metadata_original!G13</f>
        <v>Public</v>
      </c>
      <c r="H58" t="str">
        <f>parameter_metadata_original!H13</f>
        <v>Dynamic</v>
      </c>
      <c r="I58">
        <f>parameter_metadata_original!I13</f>
        <v>0</v>
      </c>
      <c r="K58" t="str">
        <f>parameter_metadata_original!K13</f>
        <v>{"Original weight" : {"value":{"@value":"", "@type":"xsd:float", "unitCode":"KGM"}}}</v>
      </c>
    </row>
    <row r="59" spans="1:11" x14ac:dyDescent="0.2">
      <c r="A59" t="str">
        <f>parameter_metadata_original!A24</f>
        <v>9. Product Updates</v>
      </c>
      <c r="B59" t="str">
        <f>parameter_metadata_original!B24</f>
        <v>x</v>
      </c>
      <c r="C59" t="str">
        <f>parameter_metadata_original!C24</f>
        <v>9. Product Updates</v>
      </c>
      <c r="D59" t="str">
        <f>parameter_metadata_original!D24</f>
        <v>Donor data expressed in the DPP portal: Original DPPs (parent packs)</v>
      </c>
      <c r="E59">
        <v>59</v>
      </c>
      <c r="G59" t="str">
        <f>parameter_metadata_original!G24</f>
        <v>Public</v>
      </c>
      <c r="H59" t="str">
        <f>parameter_metadata_original!H24</f>
        <v>Dynamic</v>
      </c>
      <c r="I59">
        <f>parameter_metadata_original!I24</f>
        <v>0</v>
      </c>
      <c r="K59" t="str">
        <f>parameter_metadata_original!K24</f>
        <v>{"Donor data expressed in the DPP portal: Original DPPs (parent packs)" : {"value":{"@value":"", "@type":"xsd:string"}}}</v>
      </c>
    </row>
    <row r="60" spans="1:11" x14ac:dyDescent="0.2">
      <c r="A60" t="str">
        <f>parameter_metadata_original!A25</f>
        <v>9. Product Updates</v>
      </c>
      <c r="B60" t="str">
        <f>parameter_metadata_original!B25</f>
        <v>x</v>
      </c>
      <c r="C60" t="str">
        <f>parameter_metadata_original!C25</f>
        <v>9. Product Updates</v>
      </c>
      <c r="D60" t="str">
        <f>parameter_metadata_original!D25</f>
        <v>Donor data expressed in the DPP portal: Module serial numbers</v>
      </c>
      <c r="E60">
        <v>60</v>
      </c>
      <c r="G60" t="str">
        <f>parameter_metadata_original!G25</f>
        <v>Private</v>
      </c>
      <c r="H60" t="str">
        <f>parameter_metadata_original!H25</f>
        <v>Dynamic</v>
      </c>
      <c r="I60" t="str">
        <f>parameter_metadata_original!I25</f>
        <v>4912,4913,4916,5101,5108,5112,6318,6327,6502,6509,7101</v>
      </c>
      <c r="J60" t="str">
        <f>parameter_metadata_original!J25</f>
        <v>4912,4913,4916,5101,5108,5112,6318,6327,6502,6509,7101</v>
      </c>
      <c r="K60" t="str">
        <f>parameter_metadata_original!K25</f>
        <v>{"Donor data expressed in the DPP portal: Module serial numbers" : {"value":{"@value":"", "@type":"xsd:string"}}}</v>
      </c>
    </row>
    <row r="61" spans="1:11" x14ac:dyDescent="0.2">
      <c r="A61" t="str">
        <f>parameter_metadata_original!A26</f>
        <v>9. Product Updates</v>
      </c>
      <c r="B61" t="str">
        <f>parameter_metadata_original!B26</f>
        <v>x</v>
      </c>
      <c r="C61" t="str">
        <f>parameter_metadata_original!C26</f>
        <v>9. Product Updates</v>
      </c>
      <c r="D61" t="str">
        <f>parameter_metadata_original!D26</f>
        <v>Repurposed Pack ID</v>
      </c>
      <c r="E61">
        <v>61</v>
      </c>
      <c r="G61" t="str">
        <f>parameter_metadata_original!G26</f>
        <v>Private</v>
      </c>
      <c r="H61" t="str">
        <f>parameter_metadata_original!H26</f>
        <v>Dynamic</v>
      </c>
      <c r="I61">
        <f>parameter_metadata_original!I26</f>
        <v>0</v>
      </c>
      <c r="K61" t="str">
        <f>parameter_metadata_original!K26</f>
        <v>{"Repurposed Pack ID" : {"value":{"@value":"", "@type":"xsd:string"}}}</v>
      </c>
    </row>
    <row r="62" spans="1:11" x14ac:dyDescent="0.2">
      <c r="A62" t="str">
        <f>parameter_metadata_original!A76</f>
        <v>9. Product Updates</v>
      </c>
      <c r="B62" t="str">
        <f>parameter_metadata_original!B76</f>
        <v>x</v>
      </c>
      <c r="C62" t="str">
        <f>parameter_metadata_original!C76</f>
        <v>9. Product Updates</v>
      </c>
      <c r="D62" t="str">
        <f>parameter_metadata_original!D76</f>
        <v>Remaining capacity (useable, available)</v>
      </c>
      <c r="E62">
        <v>62</v>
      </c>
      <c r="G62" t="str">
        <f>parameter_metadata_original!G76</f>
        <v>Private</v>
      </c>
      <c r="H62" t="str">
        <f>parameter_metadata_original!H76</f>
        <v>Dynamic</v>
      </c>
      <c r="I62">
        <f>parameter_metadata_original!I76</f>
        <v>80</v>
      </c>
      <c r="J62">
        <f>parameter_metadata_original!J76</f>
        <v>80</v>
      </c>
      <c r="K62" t="str">
        <f>parameter_metadata_original!K76</f>
        <v>{"Remaining capacity (useable, available)" : {"@type":"gs1:Power", "value":{"@value":"", "@type":"xsd:float", "unitCode":"KWH"}}}</v>
      </c>
    </row>
    <row r="63" spans="1:11" x14ac:dyDescent="0.2">
      <c r="A63" t="str">
        <f>parameter_metadata_original!A79</f>
        <v>9. Product Updates</v>
      </c>
      <c r="B63" t="str">
        <f>parameter_metadata_original!B79</f>
        <v>x</v>
      </c>
      <c r="C63" t="str">
        <f>parameter_metadata_original!C79</f>
        <v>9. Product Updates</v>
      </c>
      <c r="D63" t="str">
        <f>parameter_metadata_original!D79</f>
        <v>State of Charge (SOC)</v>
      </c>
      <c r="E63">
        <v>63</v>
      </c>
      <c r="G63" t="str">
        <f>parameter_metadata_original!G79</f>
        <v>Private</v>
      </c>
      <c r="H63" t="str">
        <f>parameter_metadata_original!H79</f>
        <v>Dynamic</v>
      </c>
      <c r="I63">
        <f>parameter_metadata_original!I79</f>
        <v>76</v>
      </c>
      <c r="J63">
        <f>parameter_metadata_original!J79</f>
        <v>76</v>
      </c>
      <c r="K63" t="str">
        <f>parameter_metadata_original!K79</f>
        <v>{"State of Charge (SOC)" : {"value":{"@value":"", "@type":"xsd:float"}}}</v>
      </c>
    </row>
    <row r="64" spans="1:11" x14ac:dyDescent="0.2">
      <c r="A64" t="str">
        <f>parameter_metadata_original!A81</f>
        <v>9. Product Updates</v>
      </c>
      <c r="B64" t="str">
        <f>parameter_metadata_original!B81</f>
        <v>x</v>
      </c>
      <c r="C64" t="str">
        <f>parameter_metadata_original!C81</f>
        <v>9. Product Updates</v>
      </c>
      <c r="D64" t="str">
        <f>parameter_metadata_original!D81</f>
        <v>Remaining power capability</v>
      </c>
      <c r="E64">
        <v>64</v>
      </c>
      <c r="G64" t="str">
        <f>parameter_metadata_original!G81</f>
        <v>Private</v>
      </c>
      <c r="H64" t="str">
        <f>parameter_metadata_original!H81</f>
        <v>Dynamic</v>
      </c>
      <c r="I64">
        <f>parameter_metadata_original!I81</f>
        <v>22</v>
      </c>
      <c r="J64">
        <f>parameter_metadata_original!J81</f>
        <v>22</v>
      </c>
      <c r="K64" t="str">
        <f>parameter_metadata_original!K81</f>
        <v>{"Remaining power capability" : {"@type":"gs1:Power", "value":{"@value":"", "@type":"xsd:float", "unitCode":"KWT"}}}</v>
      </c>
    </row>
    <row r="65" spans="1:11" x14ac:dyDescent="0.2">
      <c r="A65" t="str">
        <f>parameter_metadata_original!A85</f>
        <v>9. Product Updates</v>
      </c>
      <c r="B65" t="str">
        <f>parameter_metadata_original!B85</f>
        <v>x</v>
      </c>
      <c r="C65" t="str">
        <f>parameter_metadata_original!C85</f>
        <v>9. Product Updates</v>
      </c>
      <c r="D65" t="str">
        <f>parameter_metadata_original!D85</f>
        <v>Current Internal resistance (pack)</v>
      </c>
      <c r="E65">
        <v>65</v>
      </c>
      <c r="G65" t="str">
        <f>parameter_metadata_original!G85</f>
        <v>Private</v>
      </c>
      <c r="H65" t="str">
        <f>parameter_metadata_original!H85</f>
        <v>Dynamic</v>
      </c>
      <c r="I65" t="str">
        <f>parameter_metadata_original!I85</f>
        <v>N/A</v>
      </c>
      <c r="J65" t="str">
        <f>parameter_metadata_original!J85</f>
        <v>N/A</v>
      </c>
      <c r="K65" t="str">
        <f>parameter_metadata_original!K85</f>
        <v>{"Current Internal resistance (pack)" : {"@type":"gs1:Power", "value":{"@value":"", "@type":"xsd:float"}}}</v>
      </c>
    </row>
    <row r="66" spans="1:11" x14ac:dyDescent="0.2">
      <c r="A66" t="str">
        <f>parameter_metadata_original!A86</f>
        <v>9. Product Updates</v>
      </c>
      <c r="B66" t="str">
        <f>parameter_metadata_original!B86</f>
        <v>x</v>
      </c>
      <c r="C66" t="str">
        <f>parameter_metadata_original!C86</f>
        <v>9. Product Updates</v>
      </c>
      <c r="D66" t="str">
        <f>parameter_metadata_original!D86</f>
        <v>Internal resistance increase (pack)</v>
      </c>
      <c r="E66">
        <v>66</v>
      </c>
      <c r="G66" t="str">
        <f>parameter_metadata_original!G86</f>
        <v>Private</v>
      </c>
      <c r="H66" t="str">
        <f>parameter_metadata_original!H86</f>
        <v>Dynamic</v>
      </c>
      <c r="I66" t="str">
        <f>parameter_metadata_original!I86</f>
        <v>N/A</v>
      </c>
      <c r="J66" t="str">
        <f>parameter_metadata_original!J86</f>
        <v>N/A</v>
      </c>
      <c r="K66" t="str">
        <f>parameter_metadata_original!K86</f>
        <v>{"Internal resistance increase (pack)" : {"@type":"gs1:Power", "value":{"@value":"", "@type":"xsd:float"}}}</v>
      </c>
    </row>
    <row r="67" spans="1:11" x14ac:dyDescent="0.2">
      <c r="A67" t="str">
        <f>parameter_metadata_original!A98</f>
        <v>9. Product Updates</v>
      </c>
      <c r="B67" t="str">
        <f>parameter_metadata_original!B98</f>
        <v>x</v>
      </c>
      <c r="C67" t="str">
        <f>parameter_metadata_original!C98</f>
        <v>9. Product Updates</v>
      </c>
      <c r="D67" t="str">
        <f>parameter_metadata_original!D98</f>
        <v>Current number of (full) charging and discharging cycles</v>
      </c>
      <c r="E67">
        <v>67</v>
      </c>
      <c r="G67" t="str">
        <f>parameter_metadata_original!G98</f>
        <v>Private</v>
      </c>
      <c r="H67" t="str">
        <f>parameter_metadata_original!H98</f>
        <v>Dynamic</v>
      </c>
      <c r="I67">
        <f>parameter_metadata_original!I98</f>
        <v>88</v>
      </c>
      <c r="J67">
        <f>parameter_metadata_original!J98</f>
        <v>89</v>
      </c>
      <c r="K67" t="str">
        <f>parameter_metadata_original!K98</f>
        <v>{"Current number of (full) charging and discharging cycles" : {"value":{"@value":"", "@type":"xsd:float"}}}</v>
      </c>
    </row>
    <row r="68" spans="1:11" x14ac:dyDescent="0.2">
      <c r="A68" t="str">
        <f>parameter_metadata_original!A105</f>
        <v>9. Product Updates</v>
      </c>
      <c r="B68" t="str">
        <f>parameter_metadata_original!B105</f>
        <v>x</v>
      </c>
      <c r="C68" t="str">
        <f>parameter_metadata_original!C105</f>
        <v>9. Product Updates</v>
      </c>
      <c r="D68" t="str">
        <f>parameter_metadata_original!D105</f>
        <v>State of Health (SOH)</v>
      </c>
      <c r="E68">
        <v>68</v>
      </c>
      <c r="G68" t="str">
        <f>parameter_metadata_original!G105</f>
        <v>Private</v>
      </c>
      <c r="H68" t="str">
        <f>parameter_metadata_original!H105</f>
        <v>Dynamic</v>
      </c>
      <c r="I68">
        <f>parameter_metadata_original!I105</f>
        <v>92</v>
      </c>
      <c r="J68">
        <f>parameter_metadata_original!J105</f>
        <v>92</v>
      </c>
      <c r="K68" t="str">
        <f>parameter_metadata_original!K105</f>
        <v>{"State of Health (SOH)" : {"value":{"@value":"", "@type":"xsd:float",  "unitCode":"P1"}}}</v>
      </c>
    </row>
    <row r="69" spans="1:11" x14ac:dyDescent="0.2">
      <c r="A69" t="str">
        <f>parameter_metadata_original!A107</f>
        <v>9. Product Updates</v>
      </c>
      <c r="B69" t="str">
        <f>parameter_metadata_original!B107</f>
        <v>x</v>
      </c>
      <c r="C69" t="str">
        <f>parameter_metadata_original!C107</f>
        <v>9. Product Updates</v>
      </c>
      <c r="D69" t="str">
        <f>parameter_metadata_original!D107</f>
        <v>SOH Timestamp</v>
      </c>
      <c r="E69">
        <v>69</v>
      </c>
      <c r="G69" t="str">
        <f>parameter_metadata_original!G107</f>
        <v>Private</v>
      </c>
      <c r="H69" t="str">
        <f>parameter_metadata_original!H107</f>
        <v>Dynamic</v>
      </c>
      <c r="I69">
        <f>parameter_metadata_original!I107</f>
        <v>0</v>
      </c>
      <c r="K69" t="str">
        <f>parameter_metadata_original!K107</f>
        <v>{"SOH Timestamp" : {"value":{"@value":"", "@type":"xsd:dateTime"}}}</v>
      </c>
    </row>
    <row r="70" spans="1:11" x14ac:dyDescent="0.2">
      <c r="A70" t="str">
        <f>parameter_metadata_original!A108</f>
        <v>9. Product Updates</v>
      </c>
      <c r="B70" t="str">
        <f>parameter_metadata_original!B108</f>
        <v>x</v>
      </c>
      <c r="C70" t="str">
        <f>parameter_metadata_original!C108</f>
        <v>9. Product Updates</v>
      </c>
      <c r="D70" t="str">
        <f>parameter_metadata_original!D108</f>
        <v xml:space="preserve">Expected remaining battery lifetime expressed in cycles </v>
      </c>
      <c r="E70">
        <v>70</v>
      </c>
      <c r="G70" t="str">
        <f>parameter_metadata_original!G108</f>
        <v>Private</v>
      </c>
      <c r="H70" t="str">
        <f>parameter_metadata_original!H108</f>
        <v>Dynamic</v>
      </c>
      <c r="I70">
        <f>parameter_metadata_original!I108</f>
        <v>9912</v>
      </c>
      <c r="J70">
        <f>parameter_metadata_original!J108</f>
        <v>9913</v>
      </c>
      <c r="K70" t="str">
        <f>parameter_metadata_original!K108</f>
        <v>{"Expected remaining battery lifetime expressed in cycles " : {"value":{"@value":"", "@type":"xsd:float"}}}</v>
      </c>
    </row>
    <row r="71" spans="1:11" x14ac:dyDescent="0.2">
      <c r="A71" t="str">
        <f>parameter_metadata_original!A109</f>
        <v>9. Product Updates</v>
      </c>
      <c r="B71" t="str">
        <f>parameter_metadata_original!B109</f>
        <v>x</v>
      </c>
      <c r="C71" t="str">
        <f>parameter_metadata_original!C109</f>
        <v>9. Product Updates</v>
      </c>
      <c r="D71" t="str">
        <f>parameter_metadata_original!D109</f>
        <v>Negative events</v>
      </c>
      <c r="E71">
        <v>71</v>
      </c>
      <c r="G71" t="str">
        <f>parameter_metadata_original!G109</f>
        <v>Private</v>
      </c>
      <c r="H71" t="str">
        <f>parameter_metadata_original!H109</f>
        <v>Dynamic</v>
      </c>
      <c r="I71" t="str">
        <f>parameter_metadata_original!I109</f>
        <v>Drove off the road</v>
      </c>
      <c r="J71" t="str">
        <f>parameter_metadata_original!J109</f>
        <v>Drove off the road</v>
      </c>
      <c r="K71" t="str">
        <f>parameter_metadata_original!K109</f>
        <v>{"Negative events" : {"@type":"schema:Text", "value": {"@value":"", "@type":"xsd:string"}}}</v>
      </c>
    </row>
    <row r="72" spans="1:11" x14ac:dyDescent="0.2">
      <c r="A72" t="str">
        <f>parameter_metadata_original!A110</f>
        <v>9. Product Updates</v>
      </c>
      <c r="B72" t="str">
        <f>parameter_metadata_original!B110</f>
        <v>x</v>
      </c>
      <c r="C72" t="str">
        <f>parameter_metadata_original!C110</f>
        <v>9. Product Updates</v>
      </c>
      <c r="D72" t="str">
        <f>parameter_metadata_original!D110</f>
        <v>Service  log</v>
      </c>
      <c r="E72">
        <v>72</v>
      </c>
      <c r="G72" t="str">
        <f>parameter_metadata_original!G110</f>
        <v>Private</v>
      </c>
      <c r="H72" t="str">
        <f>parameter_metadata_original!H110</f>
        <v>Dynamic</v>
      </c>
      <c r="I72" t="str">
        <f>parameter_metadata_original!I110</f>
        <v>Replace fuse 2024-09-01</v>
      </c>
      <c r="J72" t="str">
        <f>parameter_metadata_original!J110</f>
        <v>Replace fuse 2024-09-02</v>
      </c>
      <c r="K72" t="str">
        <f>parameter_metadata_original!K110</f>
        <v>{"Service  log" : {"@type":"schema:Text", "value": {"@value":"", "@type":"xsd:string"}}}</v>
      </c>
    </row>
    <row r="73" spans="1:11" x14ac:dyDescent="0.2">
      <c r="A73" t="str">
        <f>parameter_metadata_original!A111</f>
        <v>9. Product Updates</v>
      </c>
      <c r="B73" t="str">
        <f>parameter_metadata_original!B111</f>
        <v>x</v>
      </c>
      <c r="C73" t="str">
        <f>parameter_metadata_original!C111</f>
        <v>9. Product Updates</v>
      </c>
      <c r="D73" t="str">
        <f>parameter_metadata_original!D111</f>
        <v>Historic</v>
      </c>
      <c r="E73">
        <v>73</v>
      </c>
      <c r="G73" t="str">
        <f>parameter_metadata_original!G111</f>
        <v>private</v>
      </c>
      <c r="H73" t="str">
        <f>parameter_metadata_original!H111</f>
        <v>Dynamic</v>
      </c>
      <c r="I73">
        <f>parameter_metadata_original!I111</f>
        <v>0</v>
      </c>
      <c r="J73">
        <f>parameter_metadata_original!J111</f>
        <v>0</v>
      </c>
      <c r="K73" t="str">
        <f>parameter_metadata_original!K111</f>
        <v>{"Historic" : {"value":{"@value":"", "@type":"xsd:boolean"}}}</v>
      </c>
    </row>
  </sheetData>
  <autoFilter ref="A1:K73" xr:uid="{91110A29-C29E-1746-BC3B-9F1F909FD312}">
    <sortState xmlns:xlrd2="http://schemas.microsoft.com/office/spreadsheetml/2017/richdata2" ref="A2:K73">
      <sortCondition ref="E1:E73"/>
    </sortState>
  </autoFilter>
  <sortState xmlns:xlrd2="http://schemas.microsoft.com/office/spreadsheetml/2017/richdata2" ref="A2:K72">
    <sortCondition ref="E1:E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0B02-ECEE-4619-B189-865702C2E471}">
  <dimension ref="A1:K111"/>
  <sheetViews>
    <sheetView zoomScale="140" zoomScaleNormal="140" workbookViewId="0">
      <selection activeCell="C24" sqref="C24"/>
    </sheetView>
  </sheetViews>
  <sheetFormatPr baseColWidth="10" defaultColWidth="8.83203125" defaultRowHeight="15" x14ac:dyDescent="0.2"/>
  <cols>
    <col min="1" max="1" width="45.5" bestFit="1" customWidth="1"/>
    <col min="2" max="2" width="45.5" customWidth="1"/>
    <col min="3" max="3" width="14.6640625" customWidth="1"/>
    <col min="4" max="4" width="45" style="2" bestFit="1" customWidth="1"/>
    <col min="5" max="5" width="20.33203125" bestFit="1" customWidth="1"/>
    <col min="6" max="6" width="15.83203125" bestFit="1" customWidth="1"/>
    <col min="7" max="8" width="8.5" style="2" bestFit="1" customWidth="1"/>
    <col min="9" max="9" width="28.5" style="2" bestFit="1" customWidth="1"/>
    <col min="10" max="10" width="20.6640625" style="2" customWidth="1"/>
    <col min="11" max="11" width="96.6640625" customWidth="1"/>
  </cols>
  <sheetData>
    <row r="1" spans="1:11" x14ac:dyDescent="0.2">
      <c r="A1" t="s">
        <v>0</v>
      </c>
      <c r="B1" t="s">
        <v>184</v>
      </c>
      <c r="C1" t="s">
        <v>11</v>
      </c>
      <c r="D1" s="2" t="s">
        <v>1</v>
      </c>
      <c r="E1" t="s">
        <v>13</v>
      </c>
      <c r="F1" t="s">
        <v>10</v>
      </c>
      <c r="G1" s="2" t="s">
        <v>12</v>
      </c>
      <c r="H1" s="2" t="s">
        <v>2</v>
      </c>
      <c r="I1" s="2" t="s">
        <v>95</v>
      </c>
      <c r="J1" s="2" t="s">
        <v>93</v>
      </c>
      <c r="K1" t="s">
        <v>14</v>
      </c>
    </row>
    <row r="2" spans="1:11" x14ac:dyDescent="0.2">
      <c r="A2" t="s">
        <v>34</v>
      </c>
      <c r="B2" s="9" t="s">
        <v>185</v>
      </c>
      <c r="C2" t="s">
        <v>34</v>
      </c>
      <c r="D2" t="s">
        <v>3</v>
      </c>
      <c r="G2" t="s">
        <v>209</v>
      </c>
      <c r="H2" s="2" t="s">
        <v>79</v>
      </c>
      <c r="K2" t="s">
        <v>31</v>
      </c>
    </row>
    <row r="3" spans="1:11" x14ac:dyDescent="0.2">
      <c r="A3" t="s">
        <v>34</v>
      </c>
      <c r="B3" s="9" t="s">
        <v>185</v>
      </c>
      <c r="C3" t="s">
        <v>34</v>
      </c>
      <c r="D3" t="s">
        <v>189</v>
      </c>
      <c r="G3" t="s">
        <v>209</v>
      </c>
      <c r="H3" s="2" t="s">
        <v>79</v>
      </c>
      <c r="J3" s="2">
        <v>1</v>
      </c>
      <c r="K3" t="s">
        <v>30</v>
      </c>
    </row>
    <row r="4" spans="1:11" x14ac:dyDescent="0.2">
      <c r="A4" t="s">
        <v>34</v>
      </c>
      <c r="B4" s="9" t="s">
        <v>185</v>
      </c>
      <c r="C4" t="s">
        <v>34</v>
      </c>
      <c r="D4" t="s">
        <v>4</v>
      </c>
      <c r="G4" t="s">
        <v>209</v>
      </c>
      <c r="H4" s="2" t="s">
        <v>79</v>
      </c>
      <c r="K4" t="s">
        <v>81</v>
      </c>
    </row>
    <row r="5" spans="1:11" ht="16" x14ac:dyDescent="0.2">
      <c r="A5" t="s">
        <v>34</v>
      </c>
      <c r="B5" s="9" t="s">
        <v>185</v>
      </c>
      <c r="C5" t="s">
        <v>34</v>
      </c>
      <c r="D5" t="s">
        <v>38</v>
      </c>
      <c r="G5" t="s">
        <v>209</v>
      </c>
      <c r="H5" s="2" t="s">
        <v>79</v>
      </c>
      <c r="J5" s="2" t="s">
        <v>254</v>
      </c>
      <c r="K5" s="1" t="s">
        <v>82</v>
      </c>
    </row>
    <row r="6" spans="1:11" x14ac:dyDescent="0.2">
      <c r="A6" t="s">
        <v>34</v>
      </c>
      <c r="B6" s="9" t="s">
        <v>185</v>
      </c>
      <c r="C6" t="s">
        <v>34</v>
      </c>
      <c r="D6" t="s">
        <v>28</v>
      </c>
      <c r="F6" t="s">
        <v>29</v>
      </c>
      <c r="G6" t="s">
        <v>209</v>
      </c>
      <c r="H6" s="2" t="s">
        <v>79</v>
      </c>
      <c r="K6" t="s">
        <v>83</v>
      </c>
    </row>
    <row r="7" spans="1:11" x14ac:dyDescent="0.2">
      <c r="A7" t="s">
        <v>34</v>
      </c>
      <c r="B7" s="9" t="s">
        <v>185</v>
      </c>
      <c r="C7" t="s">
        <v>34</v>
      </c>
      <c r="D7" t="s">
        <v>5</v>
      </c>
      <c r="G7" t="s">
        <v>209</v>
      </c>
      <c r="H7" s="2" t="s">
        <v>79</v>
      </c>
      <c r="K7" t="s">
        <v>96</v>
      </c>
    </row>
    <row r="8" spans="1:11" x14ac:dyDescent="0.2">
      <c r="A8" t="s">
        <v>34</v>
      </c>
      <c r="B8" s="9" t="s">
        <v>185</v>
      </c>
      <c r="C8" t="s">
        <v>34</v>
      </c>
      <c r="D8" t="s">
        <v>7</v>
      </c>
      <c r="G8" t="s">
        <v>209</v>
      </c>
      <c r="H8" s="2" t="s">
        <v>79</v>
      </c>
      <c r="J8" s="2" t="s">
        <v>254</v>
      </c>
      <c r="K8" t="s">
        <v>84</v>
      </c>
    </row>
    <row r="9" spans="1:11" x14ac:dyDescent="0.2">
      <c r="A9" t="s">
        <v>272</v>
      </c>
      <c r="B9" s="9" t="s">
        <v>185</v>
      </c>
      <c r="C9" t="s">
        <v>272</v>
      </c>
      <c r="D9" t="s">
        <v>276</v>
      </c>
      <c r="G9" t="s">
        <v>277</v>
      </c>
      <c r="H9" t="s">
        <v>80</v>
      </c>
      <c r="I9" s="2">
        <v>1.1000000000000001</v>
      </c>
      <c r="J9" s="2">
        <v>1.1000000000000001</v>
      </c>
      <c r="K9" t="s">
        <v>278</v>
      </c>
    </row>
    <row r="10" spans="1:11" x14ac:dyDescent="0.2">
      <c r="A10" t="s">
        <v>272</v>
      </c>
      <c r="B10" s="9" t="s">
        <v>185</v>
      </c>
      <c r="C10" t="s">
        <v>272</v>
      </c>
      <c r="D10" t="s">
        <v>8</v>
      </c>
      <c r="G10" t="s">
        <v>209</v>
      </c>
      <c r="H10" s="2" t="s">
        <v>80</v>
      </c>
      <c r="K10" t="s">
        <v>94</v>
      </c>
    </row>
    <row r="11" spans="1:11" x14ac:dyDescent="0.2">
      <c r="A11" t="s">
        <v>272</v>
      </c>
      <c r="B11" s="9" t="s">
        <v>185</v>
      </c>
      <c r="C11" t="s">
        <v>272</v>
      </c>
      <c r="D11" t="s">
        <v>9</v>
      </c>
      <c r="G11" t="s">
        <v>209</v>
      </c>
      <c r="H11" s="2" t="s">
        <v>80</v>
      </c>
      <c r="K11" t="s">
        <v>85</v>
      </c>
    </row>
    <row r="12" spans="1:11" x14ac:dyDescent="0.2">
      <c r="A12" t="s">
        <v>272</v>
      </c>
      <c r="B12" s="21" t="s">
        <v>185</v>
      </c>
      <c r="C12" t="s">
        <v>272</v>
      </c>
      <c r="D12" s="22" t="s">
        <v>208</v>
      </c>
      <c r="G12" t="s">
        <v>209</v>
      </c>
      <c r="H12" s="2" t="s">
        <v>80</v>
      </c>
      <c r="J12" s="2" t="s">
        <v>254</v>
      </c>
      <c r="K12" s="4" t="s">
        <v>210</v>
      </c>
    </row>
    <row r="13" spans="1:11" x14ac:dyDescent="0.2">
      <c r="A13" t="s">
        <v>272</v>
      </c>
      <c r="B13" s="9" t="s">
        <v>185</v>
      </c>
      <c r="C13" t="s">
        <v>272</v>
      </c>
      <c r="D13" s="2" t="s">
        <v>6</v>
      </c>
      <c r="G13" t="s">
        <v>209</v>
      </c>
      <c r="H13" s="2" t="s">
        <v>80</v>
      </c>
      <c r="K13" t="s">
        <v>190</v>
      </c>
    </row>
    <row r="14" spans="1:11" ht="48" x14ac:dyDescent="0.2">
      <c r="A14" t="s">
        <v>34</v>
      </c>
      <c r="B14" s="9" t="s">
        <v>185</v>
      </c>
      <c r="C14" t="s">
        <v>34</v>
      </c>
      <c r="D14" s="2" t="s">
        <v>39</v>
      </c>
      <c r="F14" t="s">
        <v>27</v>
      </c>
      <c r="G14" t="s">
        <v>209</v>
      </c>
      <c r="H14" s="2" t="s">
        <v>79</v>
      </c>
      <c r="K14" s="1" t="s">
        <v>86</v>
      </c>
    </row>
    <row r="15" spans="1:11" x14ac:dyDescent="0.2">
      <c r="A15" t="s">
        <v>35</v>
      </c>
      <c r="B15" s="9" t="s">
        <v>185</v>
      </c>
      <c r="C15" t="s">
        <v>35</v>
      </c>
      <c r="D15" s="2" t="s">
        <v>136</v>
      </c>
      <c r="G15" t="s">
        <v>209</v>
      </c>
      <c r="H15" s="2" t="s">
        <v>79</v>
      </c>
      <c r="K15" t="s">
        <v>192</v>
      </c>
    </row>
    <row r="16" spans="1:11" x14ac:dyDescent="0.2">
      <c r="A16" t="s">
        <v>36</v>
      </c>
      <c r="B16" s="9" t="s">
        <v>185</v>
      </c>
      <c r="C16" t="s">
        <v>36</v>
      </c>
      <c r="D16" s="2" t="s">
        <v>40</v>
      </c>
      <c r="G16" t="s">
        <v>209</v>
      </c>
      <c r="H16" s="2" t="s">
        <v>79</v>
      </c>
      <c r="K16" t="s">
        <v>87</v>
      </c>
    </row>
    <row r="17" spans="1:11" x14ac:dyDescent="0.2">
      <c r="A17" t="s">
        <v>36</v>
      </c>
      <c r="B17" s="9" t="s">
        <v>185</v>
      </c>
      <c r="C17" t="s">
        <v>36</v>
      </c>
      <c r="D17" s="2" t="s">
        <v>41</v>
      </c>
      <c r="G17" t="s">
        <v>209</v>
      </c>
      <c r="H17" s="2" t="s">
        <v>79</v>
      </c>
      <c r="K17" t="s">
        <v>88</v>
      </c>
    </row>
    <row r="18" spans="1:11" x14ac:dyDescent="0.2">
      <c r="A18" t="s">
        <v>37</v>
      </c>
      <c r="B18" s="9" t="s">
        <v>185</v>
      </c>
      <c r="C18" t="s">
        <v>37</v>
      </c>
      <c r="D18" s="2" t="s">
        <v>42</v>
      </c>
      <c r="G18" t="s">
        <v>209</v>
      </c>
      <c r="H18" s="2" t="s">
        <v>79</v>
      </c>
      <c r="I18" s="2" t="s">
        <v>91</v>
      </c>
      <c r="J18" s="2" t="s">
        <v>91</v>
      </c>
      <c r="K18" t="s">
        <v>211</v>
      </c>
    </row>
    <row r="19" spans="1:11" x14ac:dyDescent="0.2">
      <c r="A19" t="s">
        <v>36</v>
      </c>
      <c r="B19" s="9" t="s">
        <v>185</v>
      </c>
      <c r="C19" t="s">
        <v>36</v>
      </c>
      <c r="D19" s="2" t="s">
        <v>43</v>
      </c>
      <c r="G19" t="s">
        <v>209</v>
      </c>
      <c r="H19" s="2" t="s">
        <v>79</v>
      </c>
      <c r="K19" t="s">
        <v>89</v>
      </c>
    </row>
    <row r="20" spans="1:11" x14ac:dyDescent="0.2">
      <c r="A20" t="s">
        <v>36</v>
      </c>
      <c r="B20" s="9" t="s">
        <v>185</v>
      </c>
      <c r="C20" t="s">
        <v>36</v>
      </c>
      <c r="D20" s="2" t="s">
        <v>44</v>
      </c>
      <c r="G20" t="s">
        <v>209</v>
      </c>
      <c r="H20" s="2" t="s">
        <v>79</v>
      </c>
      <c r="I20" s="2" t="s">
        <v>91</v>
      </c>
      <c r="J20" s="2" t="s">
        <v>91</v>
      </c>
      <c r="K20" t="s">
        <v>212</v>
      </c>
    </row>
    <row r="21" spans="1:11" x14ac:dyDescent="0.2">
      <c r="A21" t="s">
        <v>45</v>
      </c>
      <c r="B21" s="9" t="s">
        <v>185</v>
      </c>
      <c r="C21" t="s">
        <v>45</v>
      </c>
      <c r="D21" t="s">
        <v>97</v>
      </c>
      <c r="E21">
        <v>1</v>
      </c>
      <c r="G21" s="2" t="s">
        <v>209</v>
      </c>
      <c r="H21" s="2" t="s">
        <v>79</v>
      </c>
      <c r="I21" s="13" t="s">
        <v>91</v>
      </c>
      <c r="J21" s="6" t="str">
        <f>I21</f>
        <v>File</v>
      </c>
      <c r="K21" t="s">
        <v>213</v>
      </c>
    </row>
    <row r="22" spans="1:11" x14ac:dyDescent="0.2">
      <c r="A22" t="s">
        <v>45</v>
      </c>
      <c r="B22" s="9" t="s">
        <v>185</v>
      </c>
      <c r="C22" t="s">
        <v>45</v>
      </c>
      <c r="D22" t="s">
        <v>193</v>
      </c>
      <c r="E22">
        <v>2</v>
      </c>
      <c r="G22" s="2" t="s">
        <v>209</v>
      </c>
      <c r="H22" s="2" t="s">
        <v>79</v>
      </c>
      <c r="I22" s="14" t="s">
        <v>197</v>
      </c>
      <c r="J22" s="7" t="str">
        <f>I22</f>
        <v>EV</v>
      </c>
      <c r="K22" t="s">
        <v>256</v>
      </c>
    </row>
    <row r="23" spans="1:11" ht="16" x14ac:dyDescent="0.2">
      <c r="A23" t="s">
        <v>272</v>
      </c>
      <c r="B23" s="9" t="s">
        <v>185</v>
      </c>
      <c r="C23" t="s">
        <v>272</v>
      </c>
      <c r="D23" s="1" t="s">
        <v>50</v>
      </c>
      <c r="E23">
        <v>3</v>
      </c>
      <c r="G23" s="2" t="s">
        <v>209</v>
      </c>
      <c r="H23" s="2" t="s">
        <v>80</v>
      </c>
      <c r="I23" s="14" t="s">
        <v>198</v>
      </c>
      <c r="J23" s="7" t="str">
        <f t="shared" ref="J23:J30" si="0">I23</f>
        <v>Repurposed</v>
      </c>
      <c r="K23" t="s">
        <v>137</v>
      </c>
    </row>
    <row r="24" spans="1:11" ht="32" x14ac:dyDescent="0.2">
      <c r="A24" t="s">
        <v>272</v>
      </c>
      <c r="B24" s="9" t="s">
        <v>185</v>
      </c>
      <c r="C24" t="s">
        <v>272</v>
      </c>
      <c r="D24" s="11" t="s">
        <v>279</v>
      </c>
      <c r="E24">
        <v>4</v>
      </c>
      <c r="G24" s="2" t="s">
        <v>209</v>
      </c>
      <c r="H24" s="2" t="s">
        <v>80</v>
      </c>
      <c r="I24" s="14"/>
      <c r="J24" s="7"/>
      <c r="K24" t="s">
        <v>280</v>
      </c>
    </row>
    <row r="25" spans="1:11" ht="32" x14ac:dyDescent="0.2">
      <c r="A25" t="s">
        <v>272</v>
      </c>
      <c r="B25" s="9" t="s">
        <v>185</v>
      </c>
      <c r="C25" t="s">
        <v>272</v>
      </c>
      <c r="D25" s="11" t="s">
        <v>257</v>
      </c>
      <c r="E25">
        <v>5</v>
      </c>
      <c r="G25" s="2" t="s">
        <v>240</v>
      </c>
      <c r="H25" s="2" t="s">
        <v>80</v>
      </c>
      <c r="I25" s="13" t="s">
        <v>199</v>
      </c>
      <c r="J25" s="7" t="str">
        <f t="shared" si="0"/>
        <v>4912,4913,4916,5101,5108,5112,6318,6327,6502,6509,7101</v>
      </c>
      <c r="K25" t="s">
        <v>264</v>
      </c>
    </row>
    <row r="26" spans="1:11" ht="16" x14ac:dyDescent="0.2">
      <c r="A26" t="s">
        <v>272</v>
      </c>
      <c r="B26" s="9" t="s">
        <v>185</v>
      </c>
      <c r="C26" t="s">
        <v>272</v>
      </c>
      <c r="D26" s="11" t="s">
        <v>51</v>
      </c>
      <c r="E26">
        <v>6</v>
      </c>
      <c r="G26" s="5" t="s">
        <v>240</v>
      </c>
      <c r="H26" s="2" t="s">
        <v>80</v>
      </c>
      <c r="I26" s="13"/>
      <c r="J26" s="7"/>
      <c r="K26" t="s">
        <v>191</v>
      </c>
    </row>
    <row r="27" spans="1:11" x14ac:dyDescent="0.2">
      <c r="A27" t="s">
        <v>45</v>
      </c>
      <c r="B27" s="9" t="s">
        <v>185</v>
      </c>
      <c r="C27" t="s">
        <v>45</v>
      </c>
      <c r="D27" s="12" t="s">
        <v>52</v>
      </c>
      <c r="E27">
        <v>7</v>
      </c>
      <c r="G27" s="2" t="s">
        <v>240</v>
      </c>
      <c r="H27" s="2" t="s">
        <v>79</v>
      </c>
      <c r="I27" s="13">
        <v>1</v>
      </c>
      <c r="J27" s="7">
        <f t="shared" si="0"/>
        <v>1</v>
      </c>
      <c r="K27" t="s">
        <v>186</v>
      </c>
    </row>
    <row r="28" spans="1:11" ht="48" x14ac:dyDescent="0.2">
      <c r="A28" t="s">
        <v>45</v>
      </c>
      <c r="B28" s="9" t="s">
        <v>185</v>
      </c>
      <c r="C28" t="s">
        <v>45</v>
      </c>
      <c r="D28" s="12" t="s">
        <v>53</v>
      </c>
      <c r="E28">
        <v>8</v>
      </c>
      <c r="F28" t="s">
        <v>27</v>
      </c>
      <c r="G28" s="2" t="s">
        <v>209</v>
      </c>
      <c r="H28" s="2" t="s">
        <v>79</v>
      </c>
      <c r="I28" s="13" t="s">
        <v>200</v>
      </c>
      <c r="J28" s="7" t="s">
        <v>267</v>
      </c>
      <c r="K28" s="1" t="s">
        <v>138</v>
      </c>
    </row>
    <row r="29" spans="1:11" x14ac:dyDescent="0.2">
      <c r="A29" t="s">
        <v>45</v>
      </c>
      <c r="B29" s="9" t="s">
        <v>185</v>
      </c>
      <c r="C29" t="s">
        <v>45</v>
      </c>
      <c r="D29" s="12" t="s">
        <v>54</v>
      </c>
      <c r="E29">
        <v>9</v>
      </c>
      <c r="G29" s="2" t="s">
        <v>209</v>
      </c>
      <c r="H29" s="2" t="s">
        <v>79</v>
      </c>
      <c r="I29" s="13">
        <v>12.6</v>
      </c>
      <c r="J29" s="7">
        <f t="shared" si="0"/>
        <v>12.6</v>
      </c>
      <c r="K29" t="s">
        <v>139</v>
      </c>
    </row>
    <row r="30" spans="1:11" x14ac:dyDescent="0.2">
      <c r="A30" t="s">
        <v>45</v>
      </c>
      <c r="B30" s="9" t="s">
        <v>185</v>
      </c>
      <c r="C30" t="s">
        <v>45</v>
      </c>
      <c r="D30" s="12" t="s">
        <v>55</v>
      </c>
      <c r="E30">
        <v>10</v>
      </c>
      <c r="G30" s="2" t="s">
        <v>209</v>
      </c>
      <c r="H30" s="2" t="s">
        <v>79</v>
      </c>
      <c r="I30" s="14">
        <v>226</v>
      </c>
      <c r="J30" s="7">
        <f t="shared" si="0"/>
        <v>226</v>
      </c>
      <c r="K30" t="s">
        <v>140</v>
      </c>
    </row>
    <row r="31" spans="1:11" ht="16" x14ac:dyDescent="0.2">
      <c r="A31" t="s">
        <v>46</v>
      </c>
      <c r="B31" s="10"/>
      <c r="C31" t="s">
        <v>46</v>
      </c>
      <c r="D31" s="1" t="s">
        <v>98</v>
      </c>
      <c r="E31">
        <v>11</v>
      </c>
      <c r="G31" s="2" t="s">
        <v>209</v>
      </c>
      <c r="H31" s="2" t="s">
        <v>79</v>
      </c>
      <c r="I31" s="15" t="e" vm="1">
        <v>#VALUE!</v>
      </c>
      <c r="J31" s="6"/>
      <c r="K31" t="s">
        <v>214</v>
      </c>
    </row>
    <row r="32" spans="1:11" ht="16" x14ac:dyDescent="0.2">
      <c r="A32" t="s">
        <v>46</v>
      </c>
      <c r="B32" s="10"/>
      <c r="C32" t="s">
        <v>46</v>
      </c>
      <c r="D32" s="1" t="s">
        <v>99</v>
      </c>
      <c r="E32">
        <v>12</v>
      </c>
      <c r="G32" s="2" t="s">
        <v>209</v>
      </c>
      <c r="H32" s="2" t="s">
        <v>79</v>
      </c>
      <c r="I32" s="13"/>
      <c r="J32" s="6"/>
      <c r="K32" t="s">
        <v>215</v>
      </c>
    </row>
    <row r="33" spans="1:11" ht="32" x14ac:dyDescent="0.2">
      <c r="A33" t="s">
        <v>46</v>
      </c>
      <c r="B33" s="9" t="s">
        <v>185</v>
      </c>
      <c r="C33" t="s">
        <v>46</v>
      </c>
      <c r="D33" s="3" t="s">
        <v>56</v>
      </c>
      <c r="E33">
        <v>13</v>
      </c>
      <c r="G33" s="2" t="s">
        <v>240</v>
      </c>
      <c r="H33" s="2" t="s">
        <v>79</v>
      </c>
      <c r="I33" s="13" t="s">
        <v>91</v>
      </c>
      <c r="J33" s="6" t="str">
        <f>I33</f>
        <v>File</v>
      </c>
      <c r="K33" t="s">
        <v>216</v>
      </c>
    </row>
    <row r="34" spans="1:11" ht="16" x14ac:dyDescent="0.2">
      <c r="A34" t="s">
        <v>35</v>
      </c>
      <c r="B34" s="9" t="s">
        <v>185</v>
      </c>
      <c r="C34" t="s">
        <v>35</v>
      </c>
      <c r="D34" s="1" t="s">
        <v>57</v>
      </c>
      <c r="E34">
        <v>14</v>
      </c>
      <c r="G34" s="2" t="s">
        <v>209</v>
      </c>
      <c r="H34" s="2" t="s">
        <v>79</v>
      </c>
      <c r="I34" s="13">
        <v>10400</v>
      </c>
      <c r="J34" s="6">
        <f>I34</f>
        <v>10400</v>
      </c>
      <c r="K34" t="s">
        <v>141</v>
      </c>
    </row>
    <row r="35" spans="1:11" ht="32" x14ac:dyDescent="0.2">
      <c r="A35" t="s">
        <v>35</v>
      </c>
      <c r="B35" s="10"/>
      <c r="C35" t="s">
        <v>35</v>
      </c>
      <c r="D35" s="3" t="s">
        <v>100</v>
      </c>
      <c r="E35">
        <v>15</v>
      </c>
      <c r="G35" s="2" t="s">
        <v>209</v>
      </c>
      <c r="H35" s="2" t="s">
        <v>79</v>
      </c>
      <c r="I35" s="13">
        <v>44</v>
      </c>
      <c r="J35" s="6">
        <f>I35</f>
        <v>44</v>
      </c>
      <c r="K35" t="s">
        <v>164</v>
      </c>
    </row>
    <row r="36" spans="1:11" ht="16" x14ac:dyDescent="0.2">
      <c r="A36" t="s">
        <v>35</v>
      </c>
      <c r="B36" s="10"/>
      <c r="C36" t="s">
        <v>35</v>
      </c>
      <c r="D36" s="3" t="s">
        <v>101</v>
      </c>
      <c r="E36">
        <v>16</v>
      </c>
      <c r="G36" s="2" t="s">
        <v>209</v>
      </c>
      <c r="H36" s="2" t="s">
        <v>79</v>
      </c>
      <c r="I36" s="13">
        <v>10</v>
      </c>
      <c r="J36" s="6">
        <f>I36</f>
        <v>10</v>
      </c>
      <c r="K36" t="s">
        <v>165</v>
      </c>
    </row>
    <row r="37" spans="1:11" ht="16" x14ac:dyDescent="0.2">
      <c r="A37" t="s">
        <v>35</v>
      </c>
      <c r="B37" s="10"/>
      <c r="C37" t="s">
        <v>35</v>
      </c>
      <c r="D37" s="3" t="s">
        <v>102</v>
      </c>
      <c r="E37">
        <v>17</v>
      </c>
      <c r="G37" s="2" t="s">
        <v>209</v>
      </c>
      <c r="H37" s="2" t="s">
        <v>79</v>
      </c>
      <c r="I37" s="13"/>
      <c r="K37" t="s">
        <v>166</v>
      </c>
    </row>
    <row r="38" spans="1:11" ht="16" x14ac:dyDescent="0.2">
      <c r="A38" t="s">
        <v>35</v>
      </c>
      <c r="B38" s="10"/>
      <c r="C38" t="s">
        <v>35</v>
      </c>
      <c r="D38" s="3" t="s">
        <v>103</v>
      </c>
      <c r="E38">
        <v>18</v>
      </c>
      <c r="G38" s="2" t="s">
        <v>209</v>
      </c>
      <c r="H38" s="2" t="s">
        <v>79</v>
      </c>
      <c r="I38" s="13"/>
      <c r="J38" s="7"/>
      <c r="K38" t="s">
        <v>167</v>
      </c>
    </row>
    <row r="39" spans="1:11" ht="16" x14ac:dyDescent="0.2">
      <c r="A39" t="s">
        <v>35</v>
      </c>
      <c r="B39" s="10"/>
      <c r="C39" t="s">
        <v>35</v>
      </c>
      <c r="D39" s="3" t="s">
        <v>104</v>
      </c>
      <c r="E39">
        <v>19</v>
      </c>
      <c r="G39" s="2" t="s">
        <v>240</v>
      </c>
      <c r="H39" s="2" t="s">
        <v>79</v>
      </c>
      <c r="I39" s="13"/>
      <c r="J39" s="7"/>
      <c r="K39" t="s">
        <v>217</v>
      </c>
    </row>
    <row r="40" spans="1:11" ht="16" x14ac:dyDescent="0.2">
      <c r="A40" t="s">
        <v>47</v>
      </c>
      <c r="B40" s="9" t="s">
        <v>185</v>
      </c>
      <c r="C40" t="s">
        <v>47</v>
      </c>
      <c r="D40" s="1" t="s">
        <v>58</v>
      </c>
      <c r="E40">
        <v>20</v>
      </c>
      <c r="G40" s="2" t="s">
        <v>240</v>
      </c>
      <c r="H40" s="2" t="s">
        <v>79</v>
      </c>
      <c r="I40" s="13" t="s">
        <v>91</v>
      </c>
      <c r="J40" s="6" t="str">
        <f>I40</f>
        <v>File</v>
      </c>
      <c r="K40" t="s">
        <v>218</v>
      </c>
    </row>
    <row r="41" spans="1:11" x14ac:dyDescent="0.2">
      <c r="A41" t="s">
        <v>37</v>
      </c>
      <c r="B41" s="9" t="s">
        <v>185</v>
      </c>
      <c r="C41" t="s">
        <v>37</v>
      </c>
      <c r="D41" t="s">
        <v>59</v>
      </c>
      <c r="E41">
        <v>21</v>
      </c>
      <c r="G41" s="2" t="s">
        <v>209</v>
      </c>
      <c r="H41" s="2" t="s">
        <v>79</v>
      </c>
      <c r="I41" s="13" t="s">
        <v>201</v>
      </c>
      <c r="J41" s="6" t="str">
        <f>I41</f>
        <v>NMC622</v>
      </c>
      <c r="K41" t="s">
        <v>142</v>
      </c>
    </row>
    <row r="42" spans="1:11" ht="16" x14ac:dyDescent="0.2">
      <c r="A42" t="s">
        <v>37</v>
      </c>
      <c r="B42" s="10"/>
      <c r="C42" t="s">
        <v>37</v>
      </c>
      <c r="D42" s="1" t="s">
        <v>105</v>
      </c>
      <c r="E42">
        <v>22</v>
      </c>
      <c r="G42" s="2" t="s">
        <v>240</v>
      </c>
      <c r="H42" s="2" t="s">
        <v>79</v>
      </c>
      <c r="I42" s="13" t="s">
        <v>91</v>
      </c>
      <c r="J42" s="6" t="str">
        <f>I42</f>
        <v>File</v>
      </c>
      <c r="K42" t="s">
        <v>143</v>
      </c>
    </row>
    <row r="43" spans="1:11" ht="16" x14ac:dyDescent="0.2">
      <c r="A43" t="s">
        <v>37</v>
      </c>
      <c r="B43" s="9" t="s">
        <v>185</v>
      </c>
      <c r="C43" t="s">
        <v>37</v>
      </c>
      <c r="D43" s="1" t="s">
        <v>258</v>
      </c>
      <c r="E43">
        <v>23</v>
      </c>
      <c r="G43" s="2" t="s">
        <v>209</v>
      </c>
      <c r="H43" s="2" t="s">
        <v>79</v>
      </c>
      <c r="I43" s="13" t="s">
        <v>91</v>
      </c>
      <c r="J43" s="6" t="s">
        <v>91</v>
      </c>
      <c r="K43" t="s">
        <v>271</v>
      </c>
    </row>
    <row r="44" spans="1:11" ht="32" x14ac:dyDescent="0.2">
      <c r="A44" t="s">
        <v>37</v>
      </c>
      <c r="B44" s="10"/>
      <c r="C44" t="s">
        <v>37</v>
      </c>
      <c r="D44" s="1" t="s">
        <v>106</v>
      </c>
      <c r="E44">
        <v>24</v>
      </c>
      <c r="G44" s="2" t="s">
        <v>240</v>
      </c>
      <c r="H44" s="2" t="s">
        <v>79</v>
      </c>
      <c r="I44" s="13" t="s">
        <v>91</v>
      </c>
      <c r="J44" s="7" t="str">
        <f>I44</f>
        <v>File</v>
      </c>
      <c r="K44" t="s">
        <v>219</v>
      </c>
    </row>
    <row r="45" spans="1:11" ht="16" x14ac:dyDescent="0.2">
      <c r="A45" t="s">
        <v>36</v>
      </c>
      <c r="B45" s="9" t="s">
        <v>185</v>
      </c>
      <c r="C45" t="s">
        <v>36</v>
      </c>
      <c r="D45" s="3" t="s">
        <v>227</v>
      </c>
      <c r="E45">
        <v>25</v>
      </c>
      <c r="G45" s="2" t="s">
        <v>209</v>
      </c>
      <c r="H45" s="2" t="s">
        <v>79</v>
      </c>
      <c r="I45">
        <v>10</v>
      </c>
      <c r="J45" s="2">
        <f t="shared" ref="J45:J52" si="1">I45</f>
        <v>10</v>
      </c>
      <c r="K45" t="s">
        <v>243</v>
      </c>
    </row>
    <row r="46" spans="1:11" ht="16" x14ac:dyDescent="0.2">
      <c r="A46" t="s">
        <v>36</v>
      </c>
      <c r="B46" s="9" t="s">
        <v>185</v>
      </c>
      <c r="C46" t="s">
        <v>36</v>
      </c>
      <c r="D46" s="3" t="s">
        <v>228</v>
      </c>
      <c r="E46">
        <v>26</v>
      </c>
      <c r="G46" s="2" t="s">
        <v>209</v>
      </c>
      <c r="H46" s="2" t="s">
        <v>79</v>
      </c>
      <c r="I46">
        <v>10</v>
      </c>
      <c r="J46" s="2">
        <f t="shared" si="1"/>
        <v>10</v>
      </c>
      <c r="K46" t="s">
        <v>244</v>
      </c>
    </row>
    <row r="47" spans="1:11" ht="16" x14ac:dyDescent="0.2">
      <c r="A47" t="s">
        <v>36</v>
      </c>
      <c r="B47" s="9" t="s">
        <v>185</v>
      </c>
      <c r="C47" t="s">
        <v>36</v>
      </c>
      <c r="D47" s="3" t="s">
        <v>229</v>
      </c>
      <c r="E47">
        <v>27</v>
      </c>
      <c r="G47" s="2" t="s">
        <v>209</v>
      </c>
      <c r="H47" s="2" t="s">
        <v>79</v>
      </c>
      <c r="I47">
        <v>10</v>
      </c>
      <c r="J47" s="2">
        <f t="shared" si="1"/>
        <v>10</v>
      </c>
      <c r="K47" t="s">
        <v>245</v>
      </c>
    </row>
    <row r="48" spans="1:11" ht="16" x14ac:dyDescent="0.2">
      <c r="A48" t="s">
        <v>36</v>
      </c>
      <c r="B48" s="9" t="s">
        <v>185</v>
      </c>
      <c r="C48" t="s">
        <v>36</v>
      </c>
      <c r="D48" s="3" t="s">
        <v>230</v>
      </c>
      <c r="E48">
        <v>28</v>
      </c>
      <c r="G48" s="2" t="s">
        <v>209</v>
      </c>
      <c r="H48" s="2" t="s">
        <v>79</v>
      </c>
      <c r="I48">
        <v>10</v>
      </c>
      <c r="J48" s="2">
        <f t="shared" si="1"/>
        <v>10</v>
      </c>
      <c r="K48" t="s">
        <v>246</v>
      </c>
    </row>
    <row r="49" spans="1:11" ht="16" x14ac:dyDescent="0.2">
      <c r="A49" t="s">
        <v>36</v>
      </c>
      <c r="B49" s="9" t="s">
        <v>185</v>
      </c>
      <c r="C49" t="s">
        <v>36</v>
      </c>
      <c r="D49" s="3" t="s">
        <v>231</v>
      </c>
      <c r="E49">
        <v>29</v>
      </c>
      <c r="G49" s="2" t="s">
        <v>209</v>
      </c>
      <c r="H49" s="2" t="s">
        <v>79</v>
      </c>
      <c r="I49">
        <v>6</v>
      </c>
      <c r="J49" s="2">
        <f t="shared" si="1"/>
        <v>6</v>
      </c>
      <c r="K49" t="s">
        <v>247</v>
      </c>
    </row>
    <row r="50" spans="1:11" ht="16" x14ac:dyDescent="0.2">
      <c r="A50" t="s">
        <v>36</v>
      </c>
      <c r="B50" s="9" t="s">
        <v>185</v>
      </c>
      <c r="C50" t="s">
        <v>36</v>
      </c>
      <c r="D50" s="3" t="s">
        <v>232</v>
      </c>
      <c r="E50">
        <v>30</v>
      </c>
      <c r="G50" s="2" t="s">
        <v>209</v>
      </c>
      <c r="H50" s="2" t="s">
        <v>79</v>
      </c>
      <c r="I50">
        <v>16</v>
      </c>
      <c r="J50" s="2">
        <f t="shared" si="1"/>
        <v>16</v>
      </c>
      <c r="K50" t="s">
        <v>248</v>
      </c>
    </row>
    <row r="51" spans="1:11" ht="16" x14ac:dyDescent="0.2">
      <c r="A51" t="s">
        <v>36</v>
      </c>
      <c r="B51" s="9" t="s">
        <v>185</v>
      </c>
      <c r="C51" t="s">
        <v>36</v>
      </c>
      <c r="D51" s="3" t="s">
        <v>233</v>
      </c>
      <c r="E51">
        <v>31</v>
      </c>
      <c r="G51" s="2" t="s">
        <v>209</v>
      </c>
      <c r="H51" s="2" t="s">
        <v>79</v>
      </c>
      <c r="I51">
        <v>6</v>
      </c>
      <c r="J51" s="2">
        <f t="shared" si="1"/>
        <v>6</v>
      </c>
      <c r="K51" t="s">
        <v>249</v>
      </c>
    </row>
    <row r="52" spans="1:11" ht="16" x14ac:dyDescent="0.2">
      <c r="A52" t="s">
        <v>36</v>
      </c>
      <c r="B52" s="9" t="s">
        <v>185</v>
      </c>
      <c r="C52" t="s">
        <v>36</v>
      </c>
      <c r="D52" s="3" t="s">
        <v>234</v>
      </c>
      <c r="E52">
        <v>32</v>
      </c>
      <c r="G52" s="2" t="s">
        <v>209</v>
      </c>
      <c r="H52" s="2" t="s">
        <v>79</v>
      </c>
      <c r="I52">
        <v>85</v>
      </c>
      <c r="J52" s="2">
        <f t="shared" si="1"/>
        <v>85</v>
      </c>
      <c r="K52" t="s">
        <v>250</v>
      </c>
    </row>
    <row r="53" spans="1:11" ht="16" x14ac:dyDescent="0.2">
      <c r="A53" t="s">
        <v>36</v>
      </c>
      <c r="B53" s="9" t="s">
        <v>185</v>
      </c>
      <c r="C53" t="s">
        <v>36</v>
      </c>
      <c r="D53" s="3" t="s">
        <v>235</v>
      </c>
      <c r="E53">
        <v>33</v>
      </c>
      <c r="G53" s="2" t="s">
        <v>209</v>
      </c>
      <c r="H53" s="2" t="s">
        <v>79</v>
      </c>
      <c r="I53">
        <v>0</v>
      </c>
      <c r="J53" s="8"/>
      <c r="K53" t="s">
        <v>251</v>
      </c>
    </row>
    <row r="54" spans="1:11" ht="16" x14ac:dyDescent="0.2">
      <c r="A54" t="s">
        <v>36</v>
      </c>
      <c r="B54" s="10"/>
      <c r="C54" t="s">
        <v>36</v>
      </c>
      <c r="D54" s="1" t="s">
        <v>107</v>
      </c>
      <c r="E54">
        <v>34</v>
      </c>
      <c r="G54" s="2" t="s">
        <v>209</v>
      </c>
      <c r="H54" s="2" t="s">
        <v>79</v>
      </c>
      <c r="I54" s="13" t="s">
        <v>91</v>
      </c>
      <c r="J54" s="6" t="str">
        <f>I54</f>
        <v>File</v>
      </c>
      <c r="K54" t="s">
        <v>220</v>
      </c>
    </row>
    <row r="55" spans="1:11" ht="32" x14ac:dyDescent="0.2">
      <c r="A55" t="s">
        <v>36</v>
      </c>
      <c r="B55" s="10"/>
      <c r="C55" t="s">
        <v>36</v>
      </c>
      <c r="D55" s="1" t="s">
        <v>108</v>
      </c>
      <c r="E55">
        <v>35</v>
      </c>
      <c r="G55" s="2" t="s">
        <v>240</v>
      </c>
      <c r="H55" s="2" t="s">
        <v>79</v>
      </c>
      <c r="I55" s="13" t="s">
        <v>91</v>
      </c>
      <c r="J55" s="6" t="str">
        <f>I55</f>
        <v>File</v>
      </c>
      <c r="K55" t="s">
        <v>221</v>
      </c>
    </row>
    <row r="56" spans="1:11" ht="32" x14ac:dyDescent="0.2">
      <c r="A56" t="s">
        <v>36</v>
      </c>
      <c r="B56" s="10"/>
      <c r="C56" t="s">
        <v>36</v>
      </c>
      <c r="D56" s="1" t="s">
        <v>236</v>
      </c>
      <c r="E56">
        <v>36</v>
      </c>
      <c r="I56" s="13"/>
      <c r="J56" s="6"/>
    </row>
    <row r="57" spans="1:11" ht="32" x14ac:dyDescent="0.2">
      <c r="A57" t="s">
        <v>36</v>
      </c>
      <c r="B57" s="10"/>
      <c r="C57" t="s">
        <v>36</v>
      </c>
      <c r="D57" s="1" t="s">
        <v>237</v>
      </c>
      <c r="E57">
        <v>37</v>
      </c>
      <c r="I57" s="13"/>
      <c r="J57" s="6"/>
    </row>
    <row r="58" spans="1:11" ht="32" x14ac:dyDescent="0.2">
      <c r="A58" t="s">
        <v>36</v>
      </c>
      <c r="B58" s="10"/>
      <c r="C58" t="s">
        <v>36</v>
      </c>
      <c r="D58" s="1" t="s">
        <v>238</v>
      </c>
      <c r="E58">
        <v>38</v>
      </c>
      <c r="I58" s="13"/>
      <c r="J58" s="6"/>
    </row>
    <row r="59" spans="1:11" ht="16" x14ac:dyDescent="0.2">
      <c r="A59" t="s">
        <v>36</v>
      </c>
      <c r="B59" s="9" t="s">
        <v>185</v>
      </c>
      <c r="C59" t="s">
        <v>36</v>
      </c>
      <c r="D59" s="1" t="s">
        <v>259</v>
      </c>
      <c r="E59">
        <v>39</v>
      </c>
      <c r="G59" s="2" t="s">
        <v>240</v>
      </c>
      <c r="H59" s="2" t="s">
        <v>79</v>
      </c>
      <c r="I59" s="13" t="s">
        <v>134</v>
      </c>
      <c r="J59" s="6" t="str">
        <f t="shared" ref="J59:J96" si="2">I59</f>
        <v>Link</v>
      </c>
      <c r="K59" t="s">
        <v>222</v>
      </c>
    </row>
    <row r="60" spans="1:11" ht="16" x14ac:dyDescent="0.2">
      <c r="A60" t="s">
        <v>36</v>
      </c>
      <c r="B60" s="9" t="s">
        <v>185</v>
      </c>
      <c r="C60" t="s">
        <v>36</v>
      </c>
      <c r="D60" s="1" t="s">
        <v>239</v>
      </c>
      <c r="E60">
        <v>40</v>
      </c>
      <c r="G60" s="2" t="s">
        <v>240</v>
      </c>
      <c r="H60" s="2" t="s">
        <v>79</v>
      </c>
      <c r="I60" s="13"/>
      <c r="J60" s="6"/>
      <c r="K60" t="s">
        <v>252</v>
      </c>
    </row>
    <row r="61" spans="1:11" ht="16" x14ac:dyDescent="0.2">
      <c r="A61" t="s">
        <v>36</v>
      </c>
      <c r="B61" s="9" t="s">
        <v>185</v>
      </c>
      <c r="C61" t="s">
        <v>36</v>
      </c>
      <c r="D61" s="1" t="s">
        <v>253</v>
      </c>
      <c r="E61">
        <v>41</v>
      </c>
      <c r="G61" s="2" t="s">
        <v>240</v>
      </c>
      <c r="H61" s="2" t="s">
        <v>79</v>
      </c>
      <c r="I61" s="13" t="s">
        <v>134</v>
      </c>
      <c r="J61" s="6" t="str">
        <f t="shared" si="2"/>
        <v>Link</v>
      </c>
      <c r="K61" t="s">
        <v>260</v>
      </c>
    </row>
    <row r="62" spans="1:11" ht="16" x14ac:dyDescent="0.2">
      <c r="A62" t="s">
        <v>36</v>
      </c>
      <c r="B62" s="9" t="s">
        <v>185</v>
      </c>
      <c r="C62" t="s">
        <v>36</v>
      </c>
      <c r="D62" s="1" t="s">
        <v>60</v>
      </c>
      <c r="E62">
        <v>42</v>
      </c>
      <c r="G62" s="2" t="s">
        <v>240</v>
      </c>
      <c r="H62" s="2" t="s">
        <v>79</v>
      </c>
      <c r="I62" s="13" t="s">
        <v>134</v>
      </c>
      <c r="J62" s="6" t="str">
        <f t="shared" si="2"/>
        <v>Link</v>
      </c>
      <c r="K62" t="s">
        <v>223</v>
      </c>
    </row>
    <row r="63" spans="1:11" ht="16" x14ac:dyDescent="0.2">
      <c r="A63" t="s">
        <v>48</v>
      </c>
      <c r="B63" s="9" t="s">
        <v>185</v>
      </c>
      <c r="C63" t="s">
        <v>48</v>
      </c>
      <c r="D63" s="3" t="s">
        <v>61</v>
      </c>
      <c r="E63">
        <v>43</v>
      </c>
      <c r="G63" s="2" t="s">
        <v>209</v>
      </c>
      <c r="H63" s="2" t="s">
        <v>79</v>
      </c>
      <c r="I63" s="13">
        <v>103</v>
      </c>
      <c r="J63" s="6">
        <f t="shared" si="2"/>
        <v>103</v>
      </c>
      <c r="K63" t="s">
        <v>144</v>
      </c>
    </row>
    <row r="64" spans="1:11" ht="16" x14ac:dyDescent="0.2">
      <c r="A64" t="s">
        <v>48</v>
      </c>
      <c r="B64" s="9" t="s">
        <v>185</v>
      </c>
      <c r="C64" t="s">
        <v>48</v>
      </c>
      <c r="D64" s="3" t="s">
        <v>62</v>
      </c>
      <c r="E64">
        <v>44</v>
      </c>
      <c r="G64" s="2" t="s">
        <v>209</v>
      </c>
      <c r="H64" s="2" t="s">
        <v>79</v>
      </c>
      <c r="I64" s="13">
        <v>88</v>
      </c>
      <c r="J64" s="6">
        <f t="shared" si="2"/>
        <v>88</v>
      </c>
      <c r="K64" t="s">
        <v>145</v>
      </c>
    </row>
    <row r="65" spans="1:11" ht="48" x14ac:dyDescent="0.2">
      <c r="A65" t="s">
        <v>48</v>
      </c>
      <c r="B65" s="9" t="s">
        <v>185</v>
      </c>
      <c r="C65" t="s">
        <v>48</v>
      </c>
      <c r="D65" s="3" t="s">
        <v>63</v>
      </c>
      <c r="E65">
        <v>45</v>
      </c>
      <c r="F65" t="s">
        <v>255</v>
      </c>
      <c r="G65" s="2" t="s">
        <v>209</v>
      </c>
      <c r="H65" s="2" t="s">
        <v>79</v>
      </c>
      <c r="I65" s="16" t="s">
        <v>202</v>
      </c>
      <c r="J65" s="2" t="s">
        <v>207</v>
      </c>
      <c r="K65" s="1" t="s">
        <v>146</v>
      </c>
    </row>
    <row r="66" spans="1:11" ht="16" x14ac:dyDescent="0.2">
      <c r="A66" t="s">
        <v>48</v>
      </c>
      <c r="B66" s="9" t="s">
        <v>185</v>
      </c>
      <c r="C66" t="s">
        <v>48</v>
      </c>
      <c r="D66" s="3" t="s">
        <v>194</v>
      </c>
      <c r="E66">
        <v>46</v>
      </c>
      <c r="G66" s="2" t="s">
        <v>209</v>
      </c>
      <c r="H66" s="2" t="s">
        <v>79</v>
      </c>
      <c r="I66" s="13">
        <v>22000</v>
      </c>
      <c r="J66" s="6">
        <f t="shared" si="2"/>
        <v>22000</v>
      </c>
      <c r="K66" t="s">
        <v>261</v>
      </c>
    </row>
    <row r="67" spans="1:11" x14ac:dyDescent="0.2">
      <c r="A67" t="s">
        <v>48</v>
      </c>
      <c r="B67" s="10"/>
      <c r="C67" t="s">
        <v>48</v>
      </c>
      <c r="D67" s="2" t="s">
        <v>109</v>
      </c>
      <c r="E67">
        <v>47</v>
      </c>
      <c r="G67" s="2" t="s">
        <v>209</v>
      </c>
      <c r="H67" s="2" t="s">
        <v>79</v>
      </c>
      <c r="I67" s="13">
        <v>22000</v>
      </c>
      <c r="J67" s="6">
        <f t="shared" si="2"/>
        <v>22000</v>
      </c>
      <c r="K67" t="s">
        <v>147</v>
      </c>
    </row>
    <row r="68" spans="1:11" ht="16" x14ac:dyDescent="0.2">
      <c r="A68" t="s">
        <v>48</v>
      </c>
      <c r="B68" s="9" t="s">
        <v>185</v>
      </c>
      <c r="C68" t="s">
        <v>48</v>
      </c>
      <c r="D68" s="3" t="s">
        <v>64</v>
      </c>
      <c r="E68">
        <v>48</v>
      </c>
      <c r="G68" s="2" t="s">
        <v>209</v>
      </c>
      <c r="H68" s="2" t="s">
        <v>79</v>
      </c>
      <c r="I68" s="13">
        <v>22</v>
      </c>
      <c r="J68" s="6">
        <f t="shared" si="2"/>
        <v>22</v>
      </c>
      <c r="K68" t="s">
        <v>148</v>
      </c>
    </row>
    <row r="69" spans="1:11" ht="16" x14ac:dyDescent="0.2">
      <c r="A69" t="s">
        <v>48</v>
      </c>
      <c r="B69" s="9" t="s">
        <v>185</v>
      </c>
      <c r="C69" t="s">
        <v>48</v>
      </c>
      <c r="D69" s="3" t="s">
        <v>65</v>
      </c>
      <c r="E69">
        <v>49</v>
      </c>
      <c r="G69" s="2" t="s">
        <v>240</v>
      </c>
      <c r="H69" s="2" t="s">
        <v>79</v>
      </c>
      <c r="I69" s="13">
        <v>1.0000000000000001E-5</v>
      </c>
      <c r="J69" s="6">
        <f t="shared" si="2"/>
        <v>1.0000000000000001E-5</v>
      </c>
      <c r="K69" t="s">
        <v>149</v>
      </c>
    </row>
    <row r="70" spans="1:11" ht="16" x14ac:dyDescent="0.2">
      <c r="A70" t="s">
        <v>48</v>
      </c>
      <c r="B70" s="9" t="s">
        <v>185</v>
      </c>
      <c r="C70" t="s">
        <v>48</v>
      </c>
      <c r="D70" s="3" t="s">
        <v>66</v>
      </c>
      <c r="E70">
        <v>50</v>
      </c>
      <c r="G70" s="2" t="s">
        <v>209</v>
      </c>
      <c r="H70" s="2" t="s">
        <v>79</v>
      </c>
      <c r="I70" s="14" t="s">
        <v>90</v>
      </c>
      <c r="J70" s="6" t="str">
        <f t="shared" si="2"/>
        <v>N/A</v>
      </c>
      <c r="K70" t="s">
        <v>150</v>
      </c>
    </row>
    <row r="71" spans="1:11" ht="16" x14ac:dyDescent="0.2">
      <c r="A71" t="s">
        <v>48</v>
      </c>
      <c r="B71" s="10"/>
      <c r="C71" t="s">
        <v>48</v>
      </c>
      <c r="D71" s="3" t="s">
        <v>110</v>
      </c>
      <c r="E71">
        <v>51</v>
      </c>
      <c r="G71" s="2" t="s">
        <v>209</v>
      </c>
      <c r="H71" s="2" t="s">
        <v>79</v>
      </c>
      <c r="I71" s="14">
        <v>0.12</v>
      </c>
      <c r="J71" s="6">
        <f t="shared" si="2"/>
        <v>0.12</v>
      </c>
      <c r="K71" t="s">
        <v>168</v>
      </c>
    </row>
    <row r="72" spans="1:11" ht="16" x14ac:dyDescent="0.2">
      <c r="A72" t="s">
        <v>48</v>
      </c>
      <c r="B72" s="10"/>
      <c r="C72" t="s">
        <v>48</v>
      </c>
      <c r="D72" s="3" t="s">
        <v>111</v>
      </c>
      <c r="E72">
        <v>52</v>
      </c>
      <c r="G72" s="2" t="s">
        <v>209</v>
      </c>
      <c r="H72" s="2" t="s">
        <v>79</v>
      </c>
      <c r="I72" s="14" t="s">
        <v>90</v>
      </c>
      <c r="J72" s="6" t="str">
        <f t="shared" si="2"/>
        <v>N/A</v>
      </c>
      <c r="K72" t="s">
        <v>150</v>
      </c>
    </row>
    <row r="73" spans="1:11" ht="16" x14ac:dyDescent="0.2">
      <c r="A73" t="s">
        <v>48</v>
      </c>
      <c r="B73" s="9" t="s">
        <v>185</v>
      </c>
      <c r="C73" t="s">
        <v>48</v>
      </c>
      <c r="D73" s="3" t="s">
        <v>67</v>
      </c>
      <c r="E73">
        <v>53</v>
      </c>
      <c r="G73" s="2" t="s">
        <v>209</v>
      </c>
      <c r="H73" s="2" t="s">
        <v>79</v>
      </c>
      <c r="I73" s="13">
        <v>85</v>
      </c>
      <c r="J73" s="6">
        <f t="shared" si="2"/>
        <v>85</v>
      </c>
      <c r="K73" t="s">
        <v>151</v>
      </c>
    </row>
    <row r="74" spans="1:11" ht="16" x14ac:dyDescent="0.2">
      <c r="A74" t="s">
        <v>48</v>
      </c>
      <c r="B74" s="10"/>
      <c r="C74" t="s">
        <v>48</v>
      </c>
      <c r="D74" s="3" t="s">
        <v>112</v>
      </c>
      <c r="E74">
        <v>54</v>
      </c>
      <c r="G74" s="2" t="s">
        <v>209</v>
      </c>
      <c r="H74" s="2" t="s">
        <v>79</v>
      </c>
      <c r="I74" s="14" t="s">
        <v>203</v>
      </c>
      <c r="J74" s="6" t="str">
        <f t="shared" si="2"/>
        <v>&gt;85</v>
      </c>
      <c r="K74" t="s">
        <v>242</v>
      </c>
    </row>
    <row r="75" spans="1:11" ht="16" x14ac:dyDescent="0.2">
      <c r="A75" t="s">
        <v>272</v>
      </c>
      <c r="B75" s="10"/>
      <c r="C75" t="s">
        <v>272</v>
      </c>
      <c r="D75" s="3" t="s">
        <v>113</v>
      </c>
      <c r="E75">
        <v>55</v>
      </c>
      <c r="G75" s="2" t="s">
        <v>240</v>
      </c>
      <c r="H75" s="2" t="s">
        <v>80</v>
      </c>
      <c r="I75" s="14">
        <v>2</v>
      </c>
      <c r="J75" s="6">
        <f t="shared" si="2"/>
        <v>2</v>
      </c>
      <c r="K75" t="s">
        <v>169</v>
      </c>
    </row>
    <row r="76" spans="1:11" ht="16" x14ac:dyDescent="0.2">
      <c r="A76" t="s">
        <v>272</v>
      </c>
      <c r="B76" s="9" t="s">
        <v>185</v>
      </c>
      <c r="C76" t="s">
        <v>272</v>
      </c>
      <c r="D76" s="3" t="s">
        <v>114</v>
      </c>
      <c r="E76">
        <v>56</v>
      </c>
      <c r="G76" s="2" t="s">
        <v>240</v>
      </c>
      <c r="H76" s="2" t="s">
        <v>80</v>
      </c>
      <c r="I76" s="14">
        <v>80</v>
      </c>
      <c r="J76" s="6">
        <f t="shared" si="2"/>
        <v>80</v>
      </c>
      <c r="K76" s="4" t="s">
        <v>152</v>
      </c>
    </row>
    <row r="77" spans="1:11" ht="16" x14ac:dyDescent="0.2">
      <c r="A77" t="s">
        <v>272</v>
      </c>
      <c r="B77" s="10"/>
      <c r="C77" t="s">
        <v>272</v>
      </c>
      <c r="D77" s="3" t="s">
        <v>195</v>
      </c>
      <c r="E77">
        <v>57</v>
      </c>
      <c r="G77" s="2" t="s">
        <v>240</v>
      </c>
      <c r="H77" s="2" t="s">
        <v>80</v>
      </c>
      <c r="I77" s="14">
        <v>80</v>
      </c>
      <c r="J77" s="6">
        <f t="shared" si="2"/>
        <v>80</v>
      </c>
      <c r="K77" s="4" t="s">
        <v>170</v>
      </c>
    </row>
    <row r="78" spans="1:11" ht="16" x14ac:dyDescent="0.2">
      <c r="A78" t="s">
        <v>272</v>
      </c>
      <c r="B78" s="10"/>
      <c r="C78" t="s">
        <v>272</v>
      </c>
      <c r="D78" s="3" t="s">
        <v>115</v>
      </c>
      <c r="E78">
        <v>58</v>
      </c>
      <c r="G78" s="2" t="s">
        <v>240</v>
      </c>
      <c r="H78" s="2" t="s">
        <v>80</v>
      </c>
      <c r="I78" s="14">
        <v>65</v>
      </c>
      <c r="J78" s="6">
        <f t="shared" si="2"/>
        <v>65</v>
      </c>
      <c r="K78" t="s">
        <v>171</v>
      </c>
    </row>
    <row r="79" spans="1:11" x14ac:dyDescent="0.2">
      <c r="A79" t="s">
        <v>272</v>
      </c>
      <c r="B79" s="9" t="s">
        <v>185</v>
      </c>
      <c r="C79" t="s">
        <v>272</v>
      </c>
      <c r="D79" s="2" t="s">
        <v>68</v>
      </c>
      <c r="E79">
        <v>59</v>
      </c>
      <c r="G79" s="2" t="s">
        <v>240</v>
      </c>
      <c r="H79" s="2" t="s">
        <v>80</v>
      </c>
      <c r="I79" s="13">
        <v>76</v>
      </c>
      <c r="J79" s="6">
        <f t="shared" si="2"/>
        <v>76</v>
      </c>
      <c r="K79" t="s">
        <v>153</v>
      </c>
    </row>
    <row r="80" spans="1:11" ht="16" x14ac:dyDescent="0.2">
      <c r="A80" t="s">
        <v>272</v>
      </c>
      <c r="B80" s="10"/>
      <c r="C80" t="s">
        <v>272</v>
      </c>
      <c r="D80" s="3" t="s">
        <v>116</v>
      </c>
      <c r="E80">
        <v>60</v>
      </c>
      <c r="G80" s="2" t="s">
        <v>240</v>
      </c>
      <c r="H80" s="2" t="s">
        <v>80</v>
      </c>
      <c r="I80" s="14">
        <v>0</v>
      </c>
      <c r="J80" s="6">
        <f t="shared" si="2"/>
        <v>0</v>
      </c>
      <c r="K80" s="4" t="s">
        <v>154</v>
      </c>
    </row>
    <row r="81" spans="1:11" ht="16" x14ac:dyDescent="0.2">
      <c r="A81" t="s">
        <v>272</v>
      </c>
      <c r="B81" s="9" t="s">
        <v>185</v>
      </c>
      <c r="C81" t="s">
        <v>272</v>
      </c>
      <c r="D81" s="3" t="s">
        <v>196</v>
      </c>
      <c r="E81">
        <v>61</v>
      </c>
      <c r="G81" s="2" t="s">
        <v>240</v>
      </c>
      <c r="H81" s="2" t="s">
        <v>80</v>
      </c>
      <c r="I81" s="14">
        <v>22</v>
      </c>
      <c r="J81" s="6">
        <f t="shared" si="2"/>
        <v>22</v>
      </c>
      <c r="K81" t="s">
        <v>262</v>
      </c>
    </row>
    <row r="82" spans="1:11" ht="16" x14ac:dyDescent="0.2">
      <c r="A82" t="s">
        <v>272</v>
      </c>
      <c r="B82" s="10"/>
      <c r="C82" t="s">
        <v>272</v>
      </c>
      <c r="D82" s="3" t="s">
        <v>263</v>
      </c>
      <c r="E82">
        <v>62</v>
      </c>
      <c r="G82" s="2" t="s">
        <v>240</v>
      </c>
      <c r="H82" s="2" t="s">
        <v>80</v>
      </c>
      <c r="I82" s="14" t="s">
        <v>204</v>
      </c>
      <c r="J82" s="6" t="str">
        <f t="shared" si="2"/>
        <v>&gt;0,01</v>
      </c>
      <c r="K82" t="s">
        <v>172</v>
      </c>
    </row>
    <row r="83" spans="1:11" ht="16" x14ac:dyDescent="0.2">
      <c r="A83" t="s">
        <v>272</v>
      </c>
      <c r="B83" s="10"/>
      <c r="C83" t="s">
        <v>272</v>
      </c>
      <c r="D83" s="3" t="s">
        <v>117</v>
      </c>
      <c r="E83">
        <v>63</v>
      </c>
      <c r="G83" s="2" t="s">
        <v>240</v>
      </c>
      <c r="H83" s="2" t="s">
        <v>80</v>
      </c>
      <c r="I83" s="14" t="s">
        <v>204</v>
      </c>
      <c r="J83" s="6" t="str">
        <f t="shared" si="2"/>
        <v>&gt;0,01</v>
      </c>
      <c r="K83" t="s">
        <v>173</v>
      </c>
    </row>
    <row r="84" spans="1:11" ht="16" x14ac:dyDescent="0.2">
      <c r="A84" t="s">
        <v>272</v>
      </c>
      <c r="B84" s="10"/>
      <c r="C84" t="s">
        <v>272</v>
      </c>
      <c r="D84" s="3" t="s">
        <v>118</v>
      </c>
      <c r="E84">
        <v>64</v>
      </c>
      <c r="G84" s="2" t="s">
        <v>240</v>
      </c>
      <c r="H84" s="2" t="s">
        <v>80</v>
      </c>
      <c r="I84" s="14">
        <v>1</v>
      </c>
      <c r="J84" s="6">
        <f t="shared" si="2"/>
        <v>1</v>
      </c>
      <c r="K84" t="s">
        <v>174</v>
      </c>
    </row>
    <row r="85" spans="1:11" ht="16" x14ac:dyDescent="0.2">
      <c r="A85" t="s">
        <v>272</v>
      </c>
      <c r="B85" s="9" t="s">
        <v>185</v>
      </c>
      <c r="C85" t="s">
        <v>272</v>
      </c>
      <c r="D85" s="3" t="s">
        <v>69</v>
      </c>
      <c r="E85">
        <v>65</v>
      </c>
      <c r="G85" s="2" t="s">
        <v>240</v>
      </c>
      <c r="H85" s="2" t="s">
        <v>80</v>
      </c>
      <c r="I85" s="14" t="s">
        <v>90</v>
      </c>
      <c r="J85" s="6" t="str">
        <f t="shared" si="2"/>
        <v>N/A</v>
      </c>
      <c r="K85" t="s">
        <v>187</v>
      </c>
    </row>
    <row r="86" spans="1:11" ht="16" x14ac:dyDescent="0.2">
      <c r="A86" t="s">
        <v>272</v>
      </c>
      <c r="B86" s="9" t="s">
        <v>185</v>
      </c>
      <c r="C86" t="s">
        <v>272</v>
      </c>
      <c r="D86" s="3" t="s">
        <v>70</v>
      </c>
      <c r="E86">
        <v>66</v>
      </c>
      <c r="G86" s="2" t="s">
        <v>240</v>
      </c>
      <c r="H86" s="2" t="s">
        <v>80</v>
      </c>
      <c r="I86" s="17" t="s">
        <v>90</v>
      </c>
      <c r="J86" s="6" t="str">
        <f t="shared" si="2"/>
        <v>N/A</v>
      </c>
      <c r="K86" t="s">
        <v>188</v>
      </c>
    </row>
    <row r="87" spans="1:11" ht="16" x14ac:dyDescent="0.2">
      <c r="A87" t="s">
        <v>49</v>
      </c>
      <c r="B87" s="9" t="s">
        <v>185</v>
      </c>
      <c r="C87" t="s">
        <v>49</v>
      </c>
      <c r="D87" s="3" t="s">
        <v>71</v>
      </c>
      <c r="E87">
        <v>67</v>
      </c>
      <c r="G87" s="2" t="s">
        <v>209</v>
      </c>
      <c r="H87" s="2" t="s">
        <v>79</v>
      </c>
      <c r="I87" s="13">
        <v>10000</v>
      </c>
      <c r="J87" s="6">
        <f t="shared" si="2"/>
        <v>10000</v>
      </c>
      <c r="K87" s="4" t="s">
        <v>155</v>
      </c>
    </row>
    <row r="88" spans="1:11" ht="16" x14ac:dyDescent="0.2">
      <c r="A88" t="s">
        <v>49</v>
      </c>
      <c r="B88" s="10"/>
      <c r="C88" t="s">
        <v>49</v>
      </c>
      <c r="D88" s="3" t="s">
        <v>119</v>
      </c>
      <c r="E88">
        <v>68</v>
      </c>
      <c r="G88" s="2" t="s">
        <v>240</v>
      </c>
      <c r="H88" s="2" t="s">
        <v>79</v>
      </c>
      <c r="I88" s="14"/>
      <c r="J88" s="6"/>
      <c r="K88" t="s">
        <v>224</v>
      </c>
    </row>
    <row r="89" spans="1:11" ht="16" x14ac:dyDescent="0.2">
      <c r="A89" t="s">
        <v>49</v>
      </c>
      <c r="B89" s="9" t="s">
        <v>185</v>
      </c>
      <c r="C89" t="s">
        <v>49</v>
      </c>
      <c r="D89" s="3" t="s">
        <v>72</v>
      </c>
      <c r="E89">
        <v>69</v>
      </c>
      <c r="G89" s="2" t="s">
        <v>209</v>
      </c>
      <c r="H89" s="2" t="s">
        <v>79</v>
      </c>
      <c r="I89" s="13">
        <v>0.3</v>
      </c>
      <c r="J89" s="6">
        <f t="shared" si="2"/>
        <v>0.3</v>
      </c>
      <c r="K89" t="s">
        <v>156</v>
      </c>
    </row>
    <row r="90" spans="1:11" ht="16" x14ac:dyDescent="0.2">
      <c r="A90" t="s">
        <v>49</v>
      </c>
      <c r="B90" s="9" t="s">
        <v>185</v>
      </c>
      <c r="C90" t="s">
        <v>49</v>
      </c>
      <c r="D90" s="3" t="s">
        <v>73</v>
      </c>
      <c r="E90">
        <v>70</v>
      </c>
      <c r="G90" s="2" t="s">
        <v>209</v>
      </c>
      <c r="H90" s="2" t="s">
        <v>79</v>
      </c>
      <c r="I90" s="13">
        <v>10</v>
      </c>
      <c r="J90" s="6">
        <f t="shared" si="2"/>
        <v>10</v>
      </c>
      <c r="K90" t="s">
        <v>157</v>
      </c>
    </row>
    <row r="91" spans="1:11" ht="16" x14ac:dyDescent="0.2">
      <c r="A91" t="s">
        <v>49</v>
      </c>
      <c r="B91" s="10"/>
      <c r="C91" t="s">
        <v>49</v>
      </c>
      <c r="D91" s="3" t="s">
        <v>120</v>
      </c>
      <c r="E91">
        <v>71</v>
      </c>
      <c r="G91" s="2" t="s">
        <v>209</v>
      </c>
      <c r="H91" s="2" t="s">
        <v>79</v>
      </c>
      <c r="I91" s="14" t="s">
        <v>205</v>
      </c>
      <c r="J91" s="6" t="str">
        <f t="shared" si="2"/>
        <v>???</v>
      </c>
      <c r="K91" t="s">
        <v>175</v>
      </c>
    </row>
    <row r="92" spans="1:11" ht="16" x14ac:dyDescent="0.2">
      <c r="A92" t="s">
        <v>49</v>
      </c>
      <c r="B92" s="9" t="s">
        <v>185</v>
      </c>
      <c r="C92" t="s">
        <v>49</v>
      </c>
      <c r="D92" s="11" t="s">
        <v>74</v>
      </c>
      <c r="E92">
        <v>72</v>
      </c>
      <c r="G92" s="2" t="s">
        <v>240</v>
      </c>
      <c r="H92" s="2" t="s">
        <v>79</v>
      </c>
      <c r="I92" s="18" t="s">
        <v>134</v>
      </c>
      <c r="J92" s="6" t="str">
        <f t="shared" si="2"/>
        <v>Link</v>
      </c>
      <c r="K92" t="s">
        <v>225</v>
      </c>
    </row>
    <row r="93" spans="1:11" ht="16" x14ac:dyDescent="0.2">
      <c r="A93" t="s">
        <v>49</v>
      </c>
      <c r="B93" s="10"/>
      <c r="C93" t="s">
        <v>49</v>
      </c>
      <c r="D93" s="3" t="s">
        <v>121</v>
      </c>
      <c r="E93">
        <v>73</v>
      </c>
      <c r="G93" s="2" t="s">
        <v>209</v>
      </c>
      <c r="H93" s="2" t="s">
        <v>79</v>
      </c>
      <c r="I93" s="13">
        <v>10</v>
      </c>
      <c r="J93" s="6">
        <f t="shared" si="2"/>
        <v>10</v>
      </c>
      <c r="K93" t="s">
        <v>226</v>
      </c>
    </row>
    <row r="94" spans="1:11" ht="16" x14ac:dyDescent="0.2">
      <c r="A94" t="s">
        <v>49</v>
      </c>
      <c r="B94" s="9" t="s">
        <v>185</v>
      </c>
      <c r="C94" t="s">
        <v>49</v>
      </c>
      <c r="D94" s="3" t="s">
        <v>265</v>
      </c>
      <c r="E94">
        <v>74</v>
      </c>
      <c r="G94" s="2" t="s">
        <v>240</v>
      </c>
      <c r="H94" s="2" t="s">
        <v>79</v>
      </c>
      <c r="I94" s="13">
        <v>240603</v>
      </c>
      <c r="J94" s="6">
        <f t="shared" si="2"/>
        <v>240603</v>
      </c>
      <c r="K94" t="s">
        <v>266</v>
      </c>
    </row>
    <row r="95" spans="1:11" x14ac:dyDescent="0.2">
      <c r="A95" t="s">
        <v>49</v>
      </c>
      <c r="B95" s="10"/>
      <c r="C95" t="s">
        <v>49</v>
      </c>
      <c r="D95" s="2" t="s">
        <v>122</v>
      </c>
      <c r="E95">
        <v>75</v>
      </c>
      <c r="G95" s="2" t="s">
        <v>209</v>
      </c>
      <c r="H95" s="2" t="s">
        <v>79</v>
      </c>
      <c r="I95" s="13">
        <v>1</v>
      </c>
      <c r="J95" s="6">
        <f t="shared" si="2"/>
        <v>1</v>
      </c>
      <c r="K95" t="s">
        <v>176</v>
      </c>
    </row>
    <row r="96" spans="1:11" x14ac:dyDescent="0.2">
      <c r="A96" t="s">
        <v>49</v>
      </c>
      <c r="B96" s="10"/>
      <c r="C96" t="s">
        <v>49</v>
      </c>
      <c r="D96" s="2" t="s">
        <v>123</v>
      </c>
      <c r="E96">
        <v>76</v>
      </c>
      <c r="G96" s="2" t="s">
        <v>209</v>
      </c>
      <c r="H96" s="2" t="s">
        <v>79</v>
      </c>
      <c r="I96" s="13">
        <v>30</v>
      </c>
      <c r="J96" s="6">
        <f t="shared" si="2"/>
        <v>30</v>
      </c>
      <c r="K96" t="s">
        <v>177</v>
      </c>
    </row>
    <row r="97" spans="1:11" ht="32" x14ac:dyDescent="0.2">
      <c r="A97" t="s">
        <v>49</v>
      </c>
      <c r="B97" s="9"/>
      <c r="C97" t="s">
        <v>49</v>
      </c>
      <c r="D97" s="3" t="s">
        <v>124</v>
      </c>
      <c r="E97">
        <v>77</v>
      </c>
      <c r="G97" s="2" t="s">
        <v>209</v>
      </c>
      <c r="H97" s="2" t="s">
        <v>79</v>
      </c>
      <c r="I97" s="14" t="s">
        <v>135</v>
      </c>
      <c r="J97" s="14" t="s">
        <v>135</v>
      </c>
      <c r="K97" t="s">
        <v>178</v>
      </c>
    </row>
    <row r="98" spans="1:11" x14ac:dyDescent="0.2">
      <c r="A98" t="s">
        <v>272</v>
      </c>
      <c r="B98" s="9" t="s">
        <v>185</v>
      </c>
      <c r="C98" t="s">
        <v>272</v>
      </c>
      <c r="D98" s="2" t="s">
        <v>75</v>
      </c>
      <c r="G98" s="2" t="s">
        <v>240</v>
      </c>
      <c r="H98" s="2" t="s">
        <v>80</v>
      </c>
      <c r="I98" s="14">
        <v>88</v>
      </c>
      <c r="J98" s="14">
        <v>89</v>
      </c>
      <c r="K98" t="s">
        <v>158</v>
      </c>
    </row>
    <row r="99" spans="1:11" x14ac:dyDescent="0.2">
      <c r="A99" t="s">
        <v>272</v>
      </c>
      <c r="B99" s="10"/>
      <c r="C99" t="s">
        <v>272</v>
      </c>
      <c r="D99" s="2" t="s">
        <v>125</v>
      </c>
      <c r="G99" s="2" t="s">
        <v>240</v>
      </c>
      <c r="H99" s="2" t="s">
        <v>80</v>
      </c>
      <c r="I99" s="14" t="s">
        <v>206</v>
      </c>
      <c r="J99" s="14" t="s">
        <v>206</v>
      </c>
      <c r="K99" t="s">
        <v>179</v>
      </c>
    </row>
    <row r="100" spans="1:11" x14ac:dyDescent="0.2">
      <c r="A100" t="s">
        <v>272</v>
      </c>
      <c r="B100" s="10"/>
      <c r="C100" t="s">
        <v>272</v>
      </c>
      <c r="D100" s="2" t="s">
        <v>126</v>
      </c>
      <c r="G100" s="2" t="s">
        <v>240</v>
      </c>
      <c r="H100" s="2" t="s">
        <v>80</v>
      </c>
      <c r="I100" s="14">
        <v>648</v>
      </c>
      <c r="J100" s="14">
        <v>648</v>
      </c>
      <c r="K100" t="s">
        <v>180</v>
      </c>
    </row>
    <row r="101" spans="1:11" x14ac:dyDescent="0.2">
      <c r="A101" t="s">
        <v>272</v>
      </c>
      <c r="B101" s="10"/>
      <c r="C101" t="s">
        <v>272</v>
      </c>
      <c r="D101" s="2" t="s">
        <v>127</v>
      </c>
      <c r="G101" s="2" t="s">
        <v>240</v>
      </c>
      <c r="H101" s="2" t="s">
        <v>80</v>
      </c>
      <c r="I101" s="14">
        <v>0</v>
      </c>
      <c r="J101" s="14">
        <v>0</v>
      </c>
      <c r="K101" t="s">
        <v>269</v>
      </c>
    </row>
    <row r="102" spans="1:11" x14ac:dyDescent="0.2">
      <c r="A102" t="s">
        <v>272</v>
      </c>
      <c r="B102" s="10"/>
      <c r="C102" t="s">
        <v>272</v>
      </c>
      <c r="D102" s="2" t="s">
        <v>128</v>
      </c>
      <c r="G102" s="2" t="s">
        <v>240</v>
      </c>
      <c r="H102" s="2" t="s">
        <v>80</v>
      </c>
      <c r="I102" s="14">
        <v>0</v>
      </c>
      <c r="J102" s="14">
        <v>0</v>
      </c>
      <c r="K102" t="s">
        <v>270</v>
      </c>
    </row>
    <row r="103" spans="1:11" x14ac:dyDescent="0.2">
      <c r="A103" t="s">
        <v>272</v>
      </c>
      <c r="B103" s="10"/>
      <c r="C103" t="s">
        <v>272</v>
      </c>
      <c r="D103" s="2" t="s">
        <v>129</v>
      </c>
      <c r="G103" s="2" t="s">
        <v>240</v>
      </c>
      <c r="H103" s="2" t="s">
        <v>80</v>
      </c>
      <c r="I103" s="14">
        <v>0</v>
      </c>
      <c r="J103" s="14">
        <v>0</v>
      </c>
      <c r="K103" t="s">
        <v>181</v>
      </c>
    </row>
    <row r="104" spans="1:11" x14ac:dyDescent="0.2">
      <c r="A104" t="s">
        <v>272</v>
      </c>
      <c r="B104" s="10"/>
      <c r="C104" t="s">
        <v>272</v>
      </c>
      <c r="D104" s="2" t="s">
        <v>130</v>
      </c>
      <c r="G104" s="2" t="s">
        <v>240</v>
      </c>
      <c r="H104" s="2" t="s">
        <v>80</v>
      </c>
      <c r="I104" s="14">
        <v>0</v>
      </c>
      <c r="J104" s="14">
        <v>0</v>
      </c>
      <c r="K104" t="s">
        <v>182</v>
      </c>
    </row>
    <row r="105" spans="1:11" ht="16" x14ac:dyDescent="0.2">
      <c r="A105" t="s">
        <v>272</v>
      </c>
      <c r="B105" s="9" t="s">
        <v>185</v>
      </c>
      <c r="C105" t="s">
        <v>272</v>
      </c>
      <c r="D105" s="11" t="s">
        <v>76</v>
      </c>
      <c r="G105" s="2" t="s">
        <v>240</v>
      </c>
      <c r="H105" s="2" t="s">
        <v>80</v>
      </c>
      <c r="I105" s="13">
        <v>92</v>
      </c>
      <c r="J105" s="13">
        <f>I105</f>
        <v>92</v>
      </c>
      <c r="K105" t="s">
        <v>159</v>
      </c>
    </row>
    <row r="106" spans="1:11" ht="16" x14ac:dyDescent="0.2">
      <c r="A106" t="s">
        <v>272</v>
      </c>
      <c r="B106" s="9"/>
      <c r="C106" t="s">
        <v>272</v>
      </c>
      <c r="D106" s="3" t="s">
        <v>131</v>
      </c>
      <c r="G106" s="2" t="s">
        <v>240</v>
      </c>
      <c r="H106" s="2" t="s">
        <v>80</v>
      </c>
      <c r="I106" s="19"/>
      <c r="J106" s="19"/>
      <c r="K106" t="s">
        <v>160</v>
      </c>
    </row>
    <row r="107" spans="1:11" x14ac:dyDescent="0.2">
      <c r="A107" t="s">
        <v>272</v>
      </c>
      <c r="B107" s="9" t="s">
        <v>185</v>
      </c>
      <c r="C107" t="s">
        <v>272</v>
      </c>
      <c r="D107" s="12" t="s">
        <v>77</v>
      </c>
      <c r="G107" s="2" t="s">
        <v>240</v>
      </c>
      <c r="H107" s="2" t="s">
        <v>80</v>
      </c>
      <c r="I107" s="20"/>
      <c r="J107" s="20"/>
      <c r="K107" t="s">
        <v>183</v>
      </c>
    </row>
    <row r="108" spans="1:11" ht="16" x14ac:dyDescent="0.2">
      <c r="A108" t="s">
        <v>272</v>
      </c>
      <c r="B108" s="9" t="s">
        <v>185</v>
      </c>
      <c r="C108" t="s">
        <v>272</v>
      </c>
      <c r="D108" s="3" t="s">
        <v>78</v>
      </c>
      <c r="G108" s="2" t="s">
        <v>240</v>
      </c>
      <c r="H108" s="2" t="s">
        <v>80</v>
      </c>
      <c r="I108" s="14">
        <v>9912</v>
      </c>
      <c r="J108" s="14">
        <v>9913</v>
      </c>
      <c r="K108" t="s">
        <v>161</v>
      </c>
    </row>
    <row r="109" spans="1:11" ht="16" x14ac:dyDescent="0.2">
      <c r="A109" t="s">
        <v>272</v>
      </c>
      <c r="B109" s="9" t="s">
        <v>185</v>
      </c>
      <c r="C109" t="s">
        <v>272</v>
      </c>
      <c r="D109" s="3" t="s">
        <v>132</v>
      </c>
      <c r="G109" s="2" t="s">
        <v>240</v>
      </c>
      <c r="H109" s="2" t="s">
        <v>80</v>
      </c>
      <c r="I109" s="2" t="s">
        <v>268</v>
      </c>
      <c r="J109" s="2" t="str">
        <f>I109</f>
        <v>Drove off the road</v>
      </c>
      <c r="K109" t="s">
        <v>162</v>
      </c>
    </row>
    <row r="110" spans="1:11" ht="16" x14ac:dyDescent="0.2">
      <c r="A110" t="s">
        <v>272</v>
      </c>
      <c r="B110" s="9" t="s">
        <v>185</v>
      </c>
      <c r="C110" t="s">
        <v>272</v>
      </c>
      <c r="D110" s="3" t="s">
        <v>133</v>
      </c>
      <c r="G110" s="2" t="s">
        <v>240</v>
      </c>
      <c r="H110" s="2" t="s">
        <v>80</v>
      </c>
      <c r="I110" s="18" t="s">
        <v>92</v>
      </c>
      <c r="J110" s="18" t="s">
        <v>241</v>
      </c>
      <c r="K110" t="s">
        <v>163</v>
      </c>
    </row>
    <row r="111" spans="1:11" x14ac:dyDescent="0.2">
      <c r="A111" t="s">
        <v>272</v>
      </c>
      <c r="B111" s="9" t="s">
        <v>185</v>
      </c>
      <c r="C111" t="s">
        <v>272</v>
      </c>
      <c r="D111" s="2" t="s">
        <v>273</v>
      </c>
      <c r="G111" s="2" t="s">
        <v>274</v>
      </c>
      <c r="H111" s="4" t="s">
        <v>80</v>
      </c>
      <c r="I111" s="2">
        <v>0</v>
      </c>
      <c r="J111" s="2">
        <v>0</v>
      </c>
      <c r="K111" t="s">
        <v>275</v>
      </c>
    </row>
  </sheetData>
  <autoFilter ref="A1:K111" xr:uid="{BBBC0B02-ECEE-4619-B189-865702C2E471}"/>
  <sortState xmlns:xlrd2="http://schemas.microsoft.com/office/spreadsheetml/2017/richdata2" ref="A21:K45">
    <sortCondition ref="C21:C45"/>
    <sortCondition ref="E21:E45"/>
  </sortState>
  <phoneticPr fontId="20" type="noConversion"/>
  <conditionalFormatting sqref="G28:G32">
    <cfRule type="cellIs" dxfId="7" priority="43" operator="equal">
      <formula>"No"</formula>
    </cfRule>
    <cfRule type="cellIs" dxfId="6" priority="44" operator="equal">
      <formula>"Yes"</formula>
    </cfRule>
  </conditionalFormatting>
  <conditionalFormatting sqref="G45:G54">
    <cfRule type="cellIs" dxfId="5" priority="41" operator="equal">
      <formula>"No"</formula>
    </cfRule>
    <cfRule type="cellIs" dxfId="4" priority="42" operator="equal">
      <formula>"Yes"</formula>
    </cfRule>
  </conditionalFormatting>
  <conditionalFormatting sqref="I25:I26">
    <cfRule type="cellIs" dxfId="3" priority="1" operator="equal">
      <formula>"No"</formula>
    </cfRule>
    <cfRule type="cellIs" dxfId="2" priority="2" operator="equal">
      <formula>"Yes"</formula>
    </cfRule>
  </conditionalFormatting>
  <conditionalFormatting sqref="I107:J107">
    <cfRule type="cellIs" dxfId="1" priority="3" operator="equal">
      <formula>"Dynamic"</formula>
    </cfRule>
    <cfRule type="cellIs" dxfId="0" priority="4" operator="equal">
      <formula>"Static"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617-946A-49E3-AD77-F1AA979B4F46}">
  <dimension ref="A1:C11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43.5" bestFit="1" customWidth="1"/>
    <col min="2" max="2" width="43.5" customWidth="1"/>
    <col min="3" max="3" width="27.83203125" bestFit="1" customWidth="1"/>
  </cols>
  <sheetData>
    <row r="1" spans="1:3" x14ac:dyDescent="0.2">
      <c r="A1" t="s">
        <v>0</v>
      </c>
      <c r="B1" t="s">
        <v>23</v>
      </c>
      <c r="C1" t="s">
        <v>15</v>
      </c>
    </row>
    <row r="2" spans="1:3" x14ac:dyDescent="0.2">
      <c r="A2" t="s">
        <v>34</v>
      </c>
      <c r="B2" t="s">
        <v>24</v>
      </c>
      <c r="C2" t="s">
        <v>16</v>
      </c>
    </row>
    <row r="3" spans="1:3" x14ac:dyDescent="0.2">
      <c r="A3" t="s">
        <v>45</v>
      </c>
      <c r="B3" t="s">
        <v>281</v>
      </c>
      <c r="C3" t="s">
        <v>17</v>
      </c>
    </row>
    <row r="4" spans="1:3" x14ac:dyDescent="0.2">
      <c r="A4" t="s">
        <v>46</v>
      </c>
      <c r="B4" t="s">
        <v>282</v>
      </c>
      <c r="C4" t="s">
        <v>287</v>
      </c>
    </row>
    <row r="5" spans="1:3" x14ac:dyDescent="0.2">
      <c r="A5" t="s">
        <v>35</v>
      </c>
      <c r="B5" t="s">
        <v>26</v>
      </c>
      <c r="C5" t="s">
        <v>19</v>
      </c>
    </row>
    <row r="6" spans="1:3" x14ac:dyDescent="0.2">
      <c r="A6" t="s">
        <v>47</v>
      </c>
      <c r="B6" t="s">
        <v>283</v>
      </c>
      <c r="C6" t="s">
        <v>288</v>
      </c>
    </row>
    <row r="7" spans="1:3" x14ac:dyDescent="0.2">
      <c r="A7" t="s">
        <v>37</v>
      </c>
      <c r="B7" t="s">
        <v>284</v>
      </c>
      <c r="C7" t="s">
        <v>18</v>
      </c>
    </row>
    <row r="8" spans="1:3" x14ac:dyDescent="0.2">
      <c r="A8" t="s">
        <v>36</v>
      </c>
      <c r="B8" t="s">
        <v>25</v>
      </c>
      <c r="C8" t="s">
        <v>291</v>
      </c>
    </row>
    <row r="9" spans="1:3" x14ac:dyDescent="0.2">
      <c r="A9" t="s">
        <v>48</v>
      </c>
      <c r="B9" t="s">
        <v>285</v>
      </c>
      <c r="C9" t="s">
        <v>289</v>
      </c>
    </row>
    <row r="10" spans="1:3" x14ac:dyDescent="0.2">
      <c r="A10" t="s">
        <v>49</v>
      </c>
      <c r="B10" t="s">
        <v>286</v>
      </c>
      <c r="C10" t="s">
        <v>290</v>
      </c>
    </row>
    <row r="11" spans="1:3" x14ac:dyDescent="0.2">
      <c r="A11" t="s">
        <v>272</v>
      </c>
      <c r="B11" t="s">
        <v>32</v>
      </c>
      <c r="C1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DAC9-7984-4C82-9CDA-35313FC8C3BB}">
  <dimension ref="A1:B11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31.5" bestFit="1" customWidth="1"/>
    <col min="2" max="2" width="9.83203125" bestFit="1" customWidth="1"/>
  </cols>
  <sheetData>
    <row r="1" spans="1:2" x14ac:dyDescent="0.2">
      <c r="A1" t="s">
        <v>11</v>
      </c>
      <c r="B1" t="s">
        <v>20</v>
      </c>
    </row>
    <row r="2" spans="1:2" x14ac:dyDescent="0.2">
      <c r="A2" t="s">
        <v>34</v>
      </c>
      <c r="B2" t="s">
        <v>21</v>
      </c>
    </row>
    <row r="3" spans="1:2" x14ac:dyDescent="0.2">
      <c r="A3" t="s">
        <v>45</v>
      </c>
      <c r="B3" t="s">
        <v>21</v>
      </c>
    </row>
    <row r="4" spans="1:2" x14ac:dyDescent="0.2">
      <c r="A4" t="s">
        <v>46</v>
      </c>
      <c r="B4" t="s">
        <v>21</v>
      </c>
    </row>
    <row r="5" spans="1:2" x14ac:dyDescent="0.2">
      <c r="A5" t="s">
        <v>35</v>
      </c>
      <c r="B5" t="s">
        <v>21</v>
      </c>
    </row>
    <row r="6" spans="1:2" x14ac:dyDescent="0.2">
      <c r="A6" t="s">
        <v>47</v>
      </c>
      <c r="B6" t="s">
        <v>21</v>
      </c>
    </row>
    <row r="7" spans="1:2" x14ac:dyDescent="0.2">
      <c r="A7" t="s">
        <v>37</v>
      </c>
      <c r="B7" t="s">
        <v>21</v>
      </c>
    </row>
    <row r="8" spans="1:2" x14ac:dyDescent="0.2">
      <c r="A8" t="s">
        <v>36</v>
      </c>
      <c r="B8" t="s">
        <v>21</v>
      </c>
    </row>
    <row r="9" spans="1:2" x14ac:dyDescent="0.2">
      <c r="A9" t="s">
        <v>48</v>
      </c>
      <c r="B9" t="s">
        <v>21</v>
      </c>
    </row>
    <row r="10" spans="1:2" x14ac:dyDescent="0.2">
      <c r="A10" t="s">
        <v>49</v>
      </c>
      <c r="B10" t="s">
        <v>21</v>
      </c>
    </row>
    <row r="11" spans="1:2" x14ac:dyDescent="0.2">
      <c r="A11" t="s">
        <v>272</v>
      </c>
      <c r="B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parameter_metadata</vt:lpstr>
      <vt:lpstr>parameter_metadata_original</vt:lpstr>
      <vt:lpstr>category_metadata</vt:lpstr>
      <vt:lpstr>sub_category_metadata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Gudino</dc:creator>
  <cp:lastModifiedBy>Berenice Gudino</cp:lastModifiedBy>
  <dcterms:created xsi:type="dcterms:W3CDTF">2024-12-11T13:33:46Z</dcterms:created>
  <dcterms:modified xsi:type="dcterms:W3CDTF">2025-05-21T15:27:39Z</dcterms:modified>
</cp:coreProperties>
</file>