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berenicegudino/Desktop/Code/dpp/dpp_app/data/OnePan/"/>
    </mc:Choice>
  </mc:AlternateContent>
  <xr:revisionPtr revIDLastSave="0" documentId="13_ncr:1_{936DBB6F-88A1-4548-BC90-5798ADEA4EBF}" xr6:coauthVersionLast="47" xr6:coauthVersionMax="47" xr10:uidLastSave="{00000000-0000-0000-0000-000000000000}"/>
  <bookViews>
    <workbookView xWindow="30240" yWindow="-380" windowWidth="38400" windowHeight="21100" xr2:uid="{F5499085-62E6-4B04-A4E2-EEF974C52419}"/>
  </bookViews>
  <sheets>
    <sheet name="parameter_metadata" sheetId="4" r:id="rId1"/>
    <sheet name="parameter_metadata_original" sheetId="1" r:id="rId2"/>
    <sheet name="category_metadata" sheetId="2" r:id="rId3"/>
    <sheet name="sub_category_metadata" sheetId="3" r:id="rId4"/>
  </sheets>
  <definedNames>
    <definedName name="_xlnm._FilterDatabase" localSheetId="0" hidden="1">parameter_metadata!$A$1:$K$50</definedName>
    <definedName name="_xlnm._FilterDatabase" localSheetId="1" hidden="1">parameter_metadata_original!$A$1:$K$111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5" i="4" l="1"/>
  <c r="B51" i="4"/>
  <c r="C51" i="4"/>
  <c r="D51" i="4"/>
  <c r="E51" i="4"/>
  <c r="G51" i="4"/>
  <c r="H51" i="4"/>
  <c r="I51" i="4"/>
  <c r="J51" i="4"/>
  <c r="K51" i="4"/>
  <c r="A51" i="4"/>
  <c r="D2" i="4" l="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B2" i="4"/>
  <c r="C2" i="4"/>
  <c r="B3" i="4"/>
  <c r="C3" i="4"/>
  <c r="B4" i="4"/>
  <c r="C4" i="4"/>
  <c r="B5" i="4"/>
  <c r="C5" i="4"/>
  <c r="B6" i="4"/>
  <c r="C6" i="4"/>
  <c r="B7" i="4"/>
  <c r="C7" i="4"/>
  <c r="B8" i="4"/>
  <c r="C8" i="4"/>
  <c r="B9" i="4"/>
  <c r="C9" i="4"/>
  <c r="B10" i="4"/>
  <c r="C10" i="4"/>
  <c r="B11" i="4"/>
  <c r="C11" i="4"/>
  <c r="B12" i="4"/>
  <c r="C12" i="4"/>
  <c r="B13" i="4"/>
  <c r="C13" i="4"/>
  <c r="B14" i="4"/>
  <c r="C14" i="4"/>
  <c r="B15" i="4"/>
  <c r="C15" i="4"/>
  <c r="B16" i="4"/>
  <c r="C16" i="4"/>
  <c r="B17" i="4"/>
  <c r="C17" i="4"/>
  <c r="B18" i="4"/>
  <c r="C18" i="4"/>
  <c r="B19" i="4"/>
  <c r="C19" i="4"/>
  <c r="B20" i="4"/>
  <c r="C20" i="4"/>
  <c r="B21" i="4"/>
  <c r="C21" i="4"/>
  <c r="B22" i="4"/>
  <c r="C22" i="4"/>
  <c r="B23" i="4"/>
  <c r="C23" i="4"/>
  <c r="B24" i="4"/>
  <c r="C24" i="4"/>
  <c r="B25" i="4"/>
  <c r="C25" i="4"/>
  <c r="B26" i="4"/>
  <c r="C26" i="4"/>
  <c r="B27" i="4"/>
  <c r="C27" i="4"/>
  <c r="B28" i="4"/>
  <c r="C28" i="4"/>
  <c r="B29" i="4"/>
  <c r="C29" i="4"/>
  <c r="B30" i="4"/>
  <c r="C30" i="4"/>
  <c r="B31" i="4"/>
  <c r="C31" i="4"/>
  <c r="B32" i="4"/>
  <c r="C32" i="4"/>
  <c r="B33" i="4"/>
  <c r="C33" i="4"/>
  <c r="B34" i="4"/>
  <c r="C34" i="4"/>
  <c r="B35" i="4"/>
  <c r="C35" i="4"/>
  <c r="B36" i="4"/>
  <c r="C36" i="4"/>
  <c r="B37" i="4"/>
  <c r="C37" i="4"/>
  <c r="B38" i="4"/>
  <c r="C38" i="4"/>
  <c r="B39" i="4"/>
  <c r="C39" i="4"/>
  <c r="B40" i="4"/>
  <c r="C40" i="4"/>
  <c r="B41" i="4"/>
  <c r="C41" i="4"/>
  <c r="B42" i="4"/>
  <c r="C42" i="4"/>
  <c r="B43" i="4"/>
  <c r="C43" i="4"/>
  <c r="B44" i="4"/>
  <c r="C44" i="4"/>
  <c r="B45" i="4"/>
  <c r="C45" i="4"/>
  <c r="B46" i="4"/>
  <c r="C46" i="4"/>
  <c r="B47" i="4"/>
  <c r="C47" i="4"/>
  <c r="B48" i="4"/>
  <c r="C48" i="4"/>
  <c r="B49" i="4"/>
  <c r="C49" i="4"/>
  <c r="B50" i="4"/>
  <c r="C50" i="4"/>
  <c r="J4" i="4" l="1"/>
  <c r="J5" i="4"/>
  <c r="J6" i="4"/>
  <c r="J7" i="4"/>
  <c r="J42" i="4"/>
  <c r="J8" i="4"/>
  <c r="J9" i="4"/>
  <c r="J30" i="4"/>
  <c r="J31" i="4"/>
  <c r="J32" i="4"/>
  <c r="J19" i="4"/>
  <c r="J34" i="4"/>
  <c r="J11" i="4"/>
  <c r="J35" i="4"/>
  <c r="J36" i="4"/>
  <c r="J12" i="4"/>
  <c r="J13" i="4"/>
  <c r="J20" i="4"/>
  <c r="J21" i="4"/>
  <c r="J22" i="4"/>
  <c r="J23" i="4"/>
  <c r="J24" i="4"/>
  <c r="J25" i="4"/>
  <c r="J26" i="4"/>
  <c r="J27" i="4"/>
  <c r="J28" i="4"/>
  <c r="J29" i="4"/>
  <c r="J37" i="4"/>
  <c r="J38" i="4"/>
  <c r="J39" i="4"/>
  <c r="J40" i="4"/>
  <c r="J41" i="4"/>
  <c r="J14" i="4"/>
  <c r="J15" i="4"/>
  <c r="J18" i="4"/>
  <c r="A2" i="4"/>
  <c r="G2" i="4"/>
  <c r="H2" i="4"/>
  <c r="I2" i="4"/>
  <c r="K2" i="4"/>
  <c r="A3" i="4"/>
  <c r="G3" i="4"/>
  <c r="H3" i="4"/>
  <c r="I3" i="4"/>
  <c r="K3" i="4"/>
  <c r="A4" i="4"/>
  <c r="G4" i="4"/>
  <c r="H4" i="4"/>
  <c r="I4" i="4"/>
  <c r="K4" i="4"/>
  <c r="A5" i="4"/>
  <c r="F5" i="4"/>
  <c r="G5" i="4"/>
  <c r="H5" i="4"/>
  <c r="I5" i="4"/>
  <c r="K5" i="4"/>
  <c r="A6" i="4"/>
  <c r="G6" i="4"/>
  <c r="H6" i="4"/>
  <c r="I6" i="4"/>
  <c r="K6" i="4"/>
  <c r="A7" i="4"/>
  <c r="G7" i="4"/>
  <c r="H7" i="4"/>
  <c r="I7" i="4"/>
  <c r="K7" i="4"/>
  <c r="A42" i="4"/>
  <c r="G42" i="4"/>
  <c r="H42" i="4"/>
  <c r="I42" i="4"/>
  <c r="K42" i="4"/>
  <c r="A43" i="4"/>
  <c r="G43" i="4"/>
  <c r="H43" i="4"/>
  <c r="I43" i="4"/>
  <c r="K43" i="4"/>
  <c r="A44" i="4"/>
  <c r="G44" i="4"/>
  <c r="H44" i="4"/>
  <c r="I44" i="4"/>
  <c r="K44" i="4"/>
  <c r="A45" i="4"/>
  <c r="G45" i="4"/>
  <c r="H45" i="4"/>
  <c r="I45" i="4"/>
  <c r="K45" i="4"/>
  <c r="A8" i="4"/>
  <c r="G8" i="4"/>
  <c r="H8" i="4"/>
  <c r="I8" i="4"/>
  <c r="K8" i="4"/>
  <c r="A9" i="4"/>
  <c r="G9" i="4"/>
  <c r="H9" i="4"/>
  <c r="I9" i="4"/>
  <c r="K9" i="4"/>
  <c r="A30" i="4"/>
  <c r="G30" i="4"/>
  <c r="H30" i="4"/>
  <c r="I30" i="4"/>
  <c r="K30" i="4"/>
  <c r="A31" i="4"/>
  <c r="G31" i="4"/>
  <c r="H31" i="4"/>
  <c r="I31" i="4"/>
  <c r="K31" i="4"/>
  <c r="A32" i="4"/>
  <c r="G32" i="4"/>
  <c r="H32" i="4"/>
  <c r="I32" i="4"/>
  <c r="K32" i="4"/>
  <c r="A19" i="4"/>
  <c r="G19" i="4"/>
  <c r="H19" i="4"/>
  <c r="I19" i="4"/>
  <c r="K19" i="4"/>
  <c r="A33" i="4"/>
  <c r="G33" i="4"/>
  <c r="H33" i="4"/>
  <c r="I33" i="4"/>
  <c r="K33" i="4"/>
  <c r="A34" i="4"/>
  <c r="G34" i="4"/>
  <c r="H34" i="4"/>
  <c r="I34" i="4"/>
  <c r="K34" i="4"/>
  <c r="A10" i="4"/>
  <c r="G10" i="4"/>
  <c r="H10" i="4"/>
  <c r="I10" i="4"/>
  <c r="K10" i="4"/>
  <c r="A11" i="4"/>
  <c r="G11" i="4"/>
  <c r="H11" i="4"/>
  <c r="I11" i="4"/>
  <c r="K11" i="4"/>
  <c r="A35" i="4"/>
  <c r="G35" i="4"/>
  <c r="H35" i="4"/>
  <c r="I35" i="4"/>
  <c r="K35" i="4"/>
  <c r="A36" i="4"/>
  <c r="G36" i="4"/>
  <c r="H36" i="4"/>
  <c r="I36" i="4"/>
  <c r="K36" i="4"/>
  <c r="A12" i="4"/>
  <c r="G12" i="4"/>
  <c r="H12" i="4"/>
  <c r="I12" i="4"/>
  <c r="K12" i="4"/>
  <c r="A13" i="4"/>
  <c r="G13" i="4"/>
  <c r="H13" i="4"/>
  <c r="I13" i="4"/>
  <c r="K13" i="4"/>
  <c r="A20" i="4"/>
  <c r="G20" i="4"/>
  <c r="H20" i="4"/>
  <c r="I20" i="4"/>
  <c r="K20" i="4"/>
  <c r="A21" i="4"/>
  <c r="G21" i="4"/>
  <c r="H21" i="4"/>
  <c r="I21" i="4"/>
  <c r="K21" i="4"/>
  <c r="A22" i="4"/>
  <c r="G22" i="4"/>
  <c r="H22" i="4"/>
  <c r="I22" i="4"/>
  <c r="K22" i="4"/>
  <c r="A23" i="4"/>
  <c r="G23" i="4"/>
  <c r="H23" i="4"/>
  <c r="I23" i="4"/>
  <c r="K23" i="4"/>
  <c r="A24" i="4"/>
  <c r="G24" i="4"/>
  <c r="H24" i="4"/>
  <c r="I24" i="4"/>
  <c r="K24" i="4"/>
  <c r="A25" i="4"/>
  <c r="G25" i="4"/>
  <c r="H25" i="4"/>
  <c r="I25" i="4"/>
  <c r="K25" i="4"/>
  <c r="A26" i="4"/>
  <c r="G26" i="4"/>
  <c r="H26" i="4"/>
  <c r="I26" i="4"/>
  <c r="K26" i="4"/>
  <c r="A27" i="4"/>
  <c r="G27" i="4"/>
  <c r="H27" i="4"/>
  <c r="I27" i="4"/>
  <c r="K27" i="4"/>
  <c r="A28" i="4"/>
  <c r="G28" i="4"/>
  <c r="H28" i="4"/>
  <c r="I28" i="4"/>
  <c r="K28" i="4"/>
  <c r="A29" i="4"/>
  <c r="G29" i="4"/>
  <c r="H29" i="4"/>
  <c r="I29" i="4"/>
  <c r="K29" i="4"/>
  <c r="A37" i="4"/>
  <c r="G37" i="4"/>
  <c r="H37" i="4"/>
  <c r="I37" i="4"/>
  <c r="K37" i="4"/>
  <c r="A38" i="4"/>
  <c r="G38" i="4"/>
  <c r="H38" i="4"/>
  <c r="I38" i="4"/>
  <c r="K38" i="4"/>
  <c r="A39" i="4"/>
  <c r="G39" i="4"/>
  <c r="H39" i="4"/>
  <c r="I39" i="4"/>
  <c r="K39" i="4"/>
  <c r="A40" i="4"/>
  <c r="G40" i="4"/>
  <c r="H40" i="4"/>
  <c r="I40" i="4"/>
  <c r="K40" i="4"/>
  <c r="A41" i="4"/>
  <c r="G41" i="4"/>
  <c r="H41" i="4"/>
  <c r="I41" i="4"/>
  <c r="K41" i="4"/>
  <c r="A14" i="4"/>
  <c r="G14" i="4"/>
  <c r="H14" i="4"/>
  <c r="I14" i="4"/>
  <c r="K14" i="4"/>
  <c r="A15" i="4"/>
  <c r="G15" i="4"/>
  <c r="H15" i="4"/>
  <c r="I15" i="4"/>
  <c r="K15" i="4"/>
  <c r="A47" i="4"/>
  <c r="G47" i="4"/>
  <c r="H47" i="4"/>
  <c r="I47" i="4"/>
  <c r="K47" i="4"/>
  <c r="A48" i="4"/>
  <c r="G48" i="4"/>
  <c r="H48" i="4"/>
  <c r="I48" i="4"/>
  <c r="K48" i="4"/>
  <c r="A49" i="4"/>
  <c r="G49" i="4"/>
  <c r="H49" i="4"/>
  <c r="I49" i="4"/>
  <c r="K49" i="4"/>
  <c r="A50" i="4"/>
  <c r="G50" i="4"/>
  <c r="H50" i="4"/>
  <c r="I50" i="4"/>
  <c r="K50" i="4"/>
  <c r="A16" i="4"/>
  <c r="G16" i="4"/>
  <c r="H16" i="4"/>
  <c r="I16" i="4"/>
  <c r="K16" i="4"/>
  <c r="A17" i="4"/>
  <c r="G17" i="4"/>
  <c r="H17" i="4"/>
  <c r="I17" i="4"/>
  <c r="K17" i="4"/>
  <c r="A46" i="4"/>
  <c r="G46" i="4"/>
  <c r="H46" i="4"/>
  <c r="I46" i="4"/>
  <c r="K46" i="4"/>
  <c r="A18" i="4"/>
  <c r="G18" i="4"/>
  <c r="H18" i="4"/>
  <c r="I18" i="4"/>
  <c r="K18" i="4"/>
  <c r="B1" i="4" l="1"/>
  <c r="C1" i="4"/>
  <c r="D1" i="4"/>
  <c r="E1" i="4"/>
  <c r="F1" i="4"/>
  <c r="G1" i="4"/>
  <c r="H1" i="4"/>
  <c r="I1" i="4"/>
  <c r="J1" i="4"/>
  <c r="K1" i="4"/>
  <c r="A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Berenice Gudino</author>
    <author>tc={2F3EDC4E-28FE-B049-9973-314DE5C44AFD}</author>
  </authors>
  <commentList>
    <comment ref="L1" authorId="0" shapeId="0" xr:uid="{5042AAC9-DD98-044B-9328-40A82280078E}">
      <text>
        <r>
          <rPr>
            <b/>
            <sz val="9"/>
            <color indexed="81"/>
            <rFont val="Tahoma"/>
            <family val="2"/>
          </rPr>
          <t>Berenice Gudino:</t>
        </r>
        <r>
          <rPr>
            <sz val="9"/>
            <color indexed="81"/>
            <rFont val="Tahoma"/>
            <family val="2"/>
          </rPr>
          <t xml:space="preserve">
This could be
Numeric
String
TimeStamp
File</t>
        </r>
      </text>
    </comment>
    <comment ref="K106" authorId="1" shapeId="0" xr:uid="{2F3EDC4E-28FE-B049-9973-314DE5C44AFD}">
      <text>
        <t>[Threaded comment]
Your version of Excel allows you to read this threaded comment; however, any edits to it will get removed if the file is opened in a newer version of Excel. Learn more: https://go.microsoft.com/fwlink/?linkid=870924
Comment:
    Units?</t>
      </text>
    </comment>
  </commentList>
</comments>
</file>

<file path=xl/sharedStrings.xml><?xml version="1.0" encoding="utf-8"?>
<sst xmlns="http://schemas.openxmlformats.org/spreadsheetml/2006/main" count="557" uniqueCount="197">
  <si>
    <t>category</t>
  </si>
  <si>
    <t>parameter</t>
  </si>
  <si>
    <t>type</t>
  </si>
  <si>
    <t>DPP Created Timestamp</t>
  </si>
  <si>
    <t>Manufacturing date</t>
  </si>
  <si>
    <t>Product category</t>
  </si>
  <si>
    <t>Original weight</t>
  </si>
  <si>
    <t>Economic operator</t>
  </si>
  <si>
    <t>DPP Update Timestamp</t>
  </si>
  <si>
    <t>DPP Update Reason</t>
  </si>
  <si>
    <t>subparameter</t>
  </si>
  <si>
    <t>sub_category</t>
  </si>
  <si>
    <t>access</t>
  </si>
  <si>
    <t>private</t>
  </si>
  <si>
    <t>order_parameter</t>
  </si>
  <si>
    <t>data model definition string</t>
  </si>
  <si>
    <t>icon_category</t>
  </si>
  <si>
    <t>:material/quick_reference_all:</t>
  </si>
  <si>
    <t>:material/checklist_rtl:</t>
  </si>
  <si>
    <t>:material/footprint:</t>
  </si>
  <si>
    <t>conf_print</t>
  </si>
  <si>
    <t>strings</t>
  </si>
  <si>
    <t>table</t>
  </si>
  <si>
    <t>function_name</t>
  </si>
  <si>
    <t>general_product_and_manufacturer_information</t>
  </si>
  <si>
    <t>circularity_and_resource_efficiency</t>
  </si>
  <si>
    <t>carbon_footprint</t>
  </si>
  <si>
    <t>Manufacturing place</t>
  </si>
  <si>
    <t>[City, Address]</t>
  </si>
  <si>
    <t>{"Product ID": {"@type":"gs1:gtin","value": {"@value":"", "@type":"xsd:string"}}}</t>
  </si>
  <si>
    <t>{"DPP Created Timestamp" : {"value":{"@value":"", "@type":"xsd:dateTime"}}}</t>
  </si>
  <si>
    <t>product_updates</t>
  </si>
  <si>
    <t>:material/update:</t>
  </si>
  <si>
    <t>1. General product and manufacturer information</t>
  </si>
  <si>
    <t>3. Carbon footprint</t>
  </si>
  <si>
    <t>6. Circularity and resource efficiency</t>
  </si>
  <si>
    <t>Manufactured by</t>
  </si>
  <si>
    <t>Dimensions</t>
  </si>
  <si>
    <t>Static</t>
  </si>
  <si>
    <t>Dynamic</t>
  </si>
  <si>
    <t>{"Manufacturing date": {"@type":"gs1:productionDateTime", "value": {"@value":"", "@type":"xsd:dateTime"}}}</t>
  </si>
  <si>
    <t>{"Manufactured by": {"@type":"gs1:organizationName", "value": {"@value": "", "@type":"xsd:string"}}}</t>
  </si>
  <si>
    <t>{"Manufacturing place" : {"@type":"gs1:address", "City": {"@type":"gs1:addressLocality", "value":{"@value": "", "@type":"xsd:string"}} , "Address":{"@type":"gs1:streetAddress",  "value":{"@value": "", "@type":"xsd:string"}}}}</t>
  </si>
  <si>
    <t>{"Economic operator" : {"@type":"schema:legalName",  "value": {"@value":"", "@type":"xsd:string"}}}</t>
  </si>
  <si>
    <t>{"DPP Update Reason" :  {"@type":"schema:description", "value":{"@type":"schema:Text", "value": {"@value":"", "@type":"xsd:string"}}}}</t>
  </si>
  <si>
    <t>File</t>
  </si>
  <si>
    <t>example data</t>
  </si>
  <si>
    <t>{"DPP Update Timestamp" : {"@type":"schema:startTime", "value":{"@type":"schema:DateTime", "value": {"@value":"", "@type":"xsd:dateTime"}}}}</t>
  </si>
  <si>
    <t>example data(text)</t>
  </si>
  <si>
    <t>{"Product category" : {"@type":"gs1:brandName", "value":{"@value":"", "@type":"rdf:langString"}}}</t>
  </si>
  <si>
    <t>No</t>
  </si>
  <si>
    <t>Relevant for use case</t>
  </si>
  <si>
    <t>x</t>
  </si>
  <si>
    <t>Product ID</t>
  </si>
  <si>
    <t>{"Original weight" : {"value":{"@value":"", "@type":"xsd:float", "unitCode":"KGM"}}}</t>
  </si>
  <si>
    <t>Hazardous substances, other than Hg, Cd, Pb</t>
  </si>
  <si>
    <t>DPP Update Responsible</t>
  </si>
  <si>
    <t>Public</t>
  </si>
  <si>
    <t>{"DPP Update Responsible" :  {"@type":"schema:Organization", "value":{"@type":"schema:legalName", "value": {"@value":"", "@type":"xsd:string"}}}}</t>
  </si>
  <si>
    <t>9. Product Updates</t>
  </si>
  <si>
    <t>:material/cycle:</t>
  </si>
  <si>
    <t>Historic</t>
  </si>
  <si>
    <t>{"Historic" : {"value":{"@value":"", "@type":"xsd:boolean"}}}</t>
  </si>
  <si>
    <t>Update ID</t>
  </si>
  <si>
    <t>{"Update ID" : { "value": {"@value":"", "@type":"xsd:string"}}}</t>
  </si>
  <si>
    <t>{"Hazardous substances, other than Hg, Cd, Pb" : {"value":{"@value":"", "@type":"xsd:string"}}}</t>
  </si>
  <si>
    <t>5. Material and composition</t>
  </si>
  <si>
    <t>Product specification</t>
  </si>
  <si>
    <t>Recycled content</t>
  </si>
  <si>
    <t>Durability</t>
  </si>
  <si>
    <t>Components</t>
  </si>
  <si>
    <t>Reusability</t>
  </si>
  <si>
    <t>Repairability</t>
  </si>
  <si>
    <t>Maintenance and refurbishment</t>
  </si>
  <si>
    <t>Recyclability</t>
  </si>
  <si>
    <t>Data carrier type</t>
  </si>
  <si>
    <t>Recycled content weight</t>
  </si>
  <si>
    <t>Recycled content [share - wt%]</t>
  </si>
  <si>
    <t>Renewable content share</t>
  </si>
  <si>
    <t>Information on sources of spare parts</t>
  </si>
  <si>
    <t>Date of purchase</t>
  </si>
  <si>
    <t>Date of product registration on website</t>
  </si>
  <si>
    <t>Warranty period</t>
  </si>
  <si>
    <t>Circular system Re-Coat</t>
  </si>
  <si>
    <t>Ovenproof</t>
  </si>
  <si>
    <t>Heat sources</t>
  </si>
  <si>
    <t>Number of components</t>
  </si>
  <si>
    <t>Bottom plate content</t>
  </si>
  <si>
    <t>Pan body content</t>
  </si>
  <si>
    <t>Handle content</t>
  </si>
  <si>
    <t>Coating content</t>
  </si>
  <si>
    <t>Bottom plate weight</t>
  </si>
  <si>
    <t>Pan body weight</t>
  </si>
  <si>
    <t>Handle weight</t>
  </si>
  <si>
    <t>Coating weight</t>
  </si>
  <si>
    <t>Recoating</t>
  </si>
  <si>
    <t>Part numbers for spare parts</t>
  </si>
  <si>
    <t>Maintenance guidelines</t>
  </si>
  <si>
    <t>Recycling pathways</t>
  </si>
  <si>
    <t xml:space="preserve">Material recovery/recirculation potential </t>
  </si>
  <si>
    <t>CO2 footprint manufacturing (cradle to gate) (to warehouse)</t>
  </si>
  <si>
    <t>CO2 footprint refurbishment (recoating process)</t>
  </si>
  <si>
    <r>
      <t xml:space="preserve">CO2 footprint </t>
    </r>
    <r>
      <rPr>
        <i/>
        <sz val="11"/>
        <color rgb="FF1A1A1A"/>
        <rFont val="Aptos Narrow"/>
        <family val="2"/>
        <scheme val="minor"/>
      </rPr>
      <t>n</t>
    </r>
    <r>
      <rPr>
        <sz val="11"/>
        <color rgb="FF1A1A1A"/>
        <rFont val="Aptos Narrow"/>
        <family val="2"/>
        <scheme val="minor"/>
      </rPr>
      <t xml:space="preserve"> cycles of recoating</t>
    </r>
  </si>
  <si>
    <t>Number of recoating/circulations</t>
  </si>
  <si>
    <t>CO2 saving after n cycles of recoating</t>
  </si>
  <si>
    <t>Geography (location of owner/user)</t>
  </si>
  <si>
    <t>CO2 footprint EOL (recycling)</t>
  </si>
  <si>
    <t>Min allowed weight</t>
  </si>
  <si>
    <t>Actual weight</t>
  </si>
  <si>
    <t>Refurbished in</t>
  </si>
  <si>
    <t>Private</t>
  </si>
  <si>
    <t>Diameter 28 cm; Height 5 cm; Thickness bottom plate 0.55 cm; Handle length 21 cm</t>
  </si>
  <si>
    <t>Aluminium</t>
  </si>
  <si>
    <t>ONEPan AB, Bögatan 1, SE-412 72 Göteborg, Sweden</t>
  </si>
  <si>
    <t>Through the OnePan circular system Re-Coat, OnePan can be recoated when the current coating wears out. Free of charge and forever.</t>
  </si>
  <si>
    <r>
      <t xml:space="preserve">Withstands temperatures up to 280 </t>
    </r>
    <r>
      <rPr>
        <sz val="11"/>
        <color theme="1"/>
        <rFont val="Arial"/>
        <family val="2"/>
      </rPr>
      <t>º</t>
    </r>
    <r>
      <rPr>
        <sz val="9.35"/>
        <color theme="1"/>
        <rFont val="Aptos Narrow"/>
        <family val="2"/>
      </rPr>
      <t>C</t>
    </r>
  </si>
  <si>
    <t>Suitable for all heat soruces: induction, gas, open fire</t>
  </si>
  <si>
    <t>Bottom plate, pan body, handle, coating</t>
  </si>
  <si>
    <t>Stainless steel (magnetic)</t>
  </si>
  <si>
    <t xml:space="preserve">Aluminium, 100% recycled </t>
  </si>
  <si>
    <t>Stainless steel</t>
  </si>
  <si>
    <t>Ceramic non-stick, PFAS-free</t>
  </si>
  <si>
    <t>&lt; 0.010</t>
  </si>
  <si>
    <t>In case the handle should break (very unlikely though) it can be easily replaced.</t>
  </si>
  <si>
    <t>Hur du tar hand om din OnePan – OnePan.se</t>
  </si>
  <si>
    <t>Pans that are sent to OnePan AB via the circular system are dismantled and recycled when they are no longer fit for a new recoating process. The handle is removed and sent to recycling. The body and bottom plate are sent to the manufacturer where the body is melted in an aluminium melt and separated from the bottom plate. The bottom plate is sent to an external actor for recycling.</t>
  </si>
  <si>
    <t>Sweden</t>
  </si>
  <si>
    <t>QR-code. Laser cut into material.</t>
  </si>
  <si>
    <t>Cookware</t>
  </si>
  <si>
    <t>ONEPan AB</t>
  </si>
  <si>
    <t>{"Data carrier type" : { "value": {"@value":"", "@type":"xsd:string"}}}</t>
  </si>
  <si>
    <t>{"Recycled content" : { "value": {"@value":"", "@type":"xsd:string"}}}</t>
  </si>
  <si>
    <t>{"Recycled content weight" : {"value":{"@value":"", "@type":"xsd:float", "unitCode":"KGM"}}}</t>
  </si>
  <si>
    <t>{"Recycled content [share - wt%]" : {"value":{"@value":"", "@type":"xsd:float",  "unitCode":"P1"}}}</t>
  </si>
  <si>
    <t>{"Information on sources of spare parts" : {"@type":"gs1:purchaseSuppliesOrAccessories", "value":{"@value":"", "@type":"xsd:anyURI"}}}</t>
  </si>
  <si>
    <t>{"Date of purchase" : {"value":{"@value":"", "@type":"xsd:dateTime"}}}</t>
  </si>
  <si>
    <t>{"Date of product registration on website" : {"value":{"@value":"", "@type":"xsd:dateTime"}}}</t>
  </si>
  <si>
    <t>{"Warranty period" : {"value":{"@value":"", "@type":"xsd:string"}}}</t>
  </si>
  <si>
    <t>{"Circular system Re-Coat" : {"value":{"@value":"", "@type":"xsd:string"}}}</t>
  </si>
  <si>
    <t>{"Ovenproof" : {"value":{"@value":"", "@type":"xsd:string"}}}</t>
  </si>
  <si>
    <t>{"Heat sources" : {"value":{"@value":"", "@type":"xsd:string"}}}</t>
  </si>
  <si>
    <t>{"Number of components" : {"value":{"@value":"", "@type":"xsd:int"}}}</t>
  </si>
  <si>
    <t>{"Components" : {"value":{"@value":"", "@type":"xsd:string"}}}</t>
  </si>
  <si>
    <t>{"Bottom plate content" : {"value":{"@value":"", "@type":"xsd:string"}}}</t>
  </si>
  <si>
    <t>{"Pan body content" : {"value":{"@value":"", "@type":"xsd:string"}}}</t>
  </si>
  <si>
    <t>{"Handle content" : {"value":{"@value":"", "@type":"xsd:string"}}}</t>
  </si>
  <si>
    <t>{"Coating content" : {"value":{"@value":"", "@type":"xsd:string"}}}</t>
  </si>
  <si>
    <t>{"Bottom plate weight" : {"value":{"@value":"", "@type":"xsd:float", "unitCode":"KGM"}}}</t>
  </si>
  <si>
    <t>{"Pan body weight" : {"value":{"@value":"", "@type":"xsd:float", "unitCode":"KGM"}}}</t>
  </si>
  <si>
    <t>{"Handle weight" : {"value":{"@value":"", "@type":"xsd:float", "unitCode":"KGM"}}}</t>
  </si>
  <si>
    <t>{"Coating weight" : {"value":{"@value":"", "@type":"xsd:string", "unitCode":"KGM"}}}</t>
  </si>
  <si>
    <t>Data Type</t>
  </si>
  <si>
    <t>Unit/how to express</t>
  </si>
  <si>
    <t>Timestamp</t>
  </si>
  <si>
    <t>String</t>
  </si>
  <si>
    <t>Date[YY-MM-DD]</t>
  </si>
  <si>
    <t>Number</t>
  </si>
  <si>
    <t>kg</t>
  </si>
  <si>
    <t>%</t>
  </si>
  <si>
    <t>Hour</t>
  </si>
  <si>
    <t>URL</t>
  </si>
  <si>
    <t>Numeric</t>
  </si>
  <si>
    <t>CO2eq</t>
  </si>
  <si>
    <t>Number (of)</t>
  </si>
  <si>
    <t>{"Recoating" : {"value":{"@value":"", "@type":"xsd:string"}}}</t>
  </si>
  <si>
    <t>{"Part numbers for spare parts" : {"value":{"@value":"", "@type":"xsd:string"}}}</t>
  </si>
  <si>
    <t>{"Maintenance guidelines" : {"@type":"gs1:pip", "value":{"@value":"", "@type":"xsd:anyURI"}}}</t>
  </si>
  <si>
    <t>{"Dismantling information: Manuals for the removal and the disassembly of the product" : {"value":{"@value":"", "@type":"xsd:string"}}}</t>
  </si>
  <si>
    <t>Dismantling information: Manuals for the removal and the disassembly of the product</t>
  </si>
  <si>
    <t>Recyclable material (wt%)</t>
  </si>
  <si>
    <t>{"Geography (location of owner/user)" : {"value":{"@value":"", "@type":"xsd:string"}}}</t>
  </si>
  <si>
    <t>{"Refurbished in" : {"value":{"@value":"", "@type":"xsd:string"}}}</t>
  </si>
  <si>
    <t>{"Actual weight" : {"value":{"@value":"", "@type":"xsd:float", "unitCode":"KGM"}}}</t>
  </si>
  <si>
    <t>{"Dimensions":{ "value": {"@value":"", "@type":"xsd:string"}}}</t>
  </si>
  <si>
    <t>{"Renewable content share"  : {"value":{"@value":"", "@type":"xsd:float",  "unitCode":"P1"}}}</t>
  </si>
  <si>
    <t>https://onepan.se/pages/hur-du-tar-hand-om-din-onepan?_gl=1*1a84e5*_up*MQ..*_gs*MQ..&amp;gclid=EAIaIQobChMI6OPf8vezjAMVqWaRBR2K3SryEAAYASAAEgKRpPD_BwE</t>
  </si>
  <si>
    <t>{"Recycling pathways" : {"value":{"@value":"", "@type":"xsd:string"}}}</t>
  </si>
  <si>
    <t>{"Recyclable material (wt%)" : {"value":{"@value":"", "@type":"xsd:float", "unitCode":"P1"}}}</t>
  </si>
  <si>
    <t>{"Material recovery/recirculation potential " : {"value":{"@value":"", "@type":"xsd:float", "unitCode":"P1"}}}</t>
  </si>
  <si>
    <t>{"CO2 footprint manufacturing (cradle to gate) (to warehouse)" : {"value":{"@value":"", "@type":"xsd:float",  "unitCode":"CO2"}}}</t>
  </si>
  <si>
    <t>{"CO2 footprint refurbishment (recoating process)" : {"value":{"@value":"", "@type":"xsd:float", "unitCode":"CO2"}}}</t>
  </si>
  <si>
    <t>{"CO2 footprint n cycles of recoating" : {"value":{"@value":"", "@type":"xsd:float"}}}</t>
  </si>
  <si>
    <t>{"Number of recoating/circulations" : {"value":{"@value":"", "@type":"xsd:int"}}}</t>
  </si>
  <si>
    <t>{"CO2 saving after n cycles of recoating" : {"value":{"@value":"", "@type":"xsd:float", "unitCode":"KGM"}}}</t>
  </si>
  <si>
    <t>{"CO2 footprint EOL (recycling)" : {"value":{"@value":"", "@type":"xsd:float", "unitCode":"CO2"}}}</t>
  </si>
  <si>
    <t>{"Min allowed weight" : {"value":{"@value":"", "@type":"xsd:string", "unitCode":"KGM"}}}</t>
  </si>
  <si>
    <t>&lt; 0.011</t>
  </si>
  <si>
    <t>material_and_composition</t>
  </si>
  <si>
    <t>Carbon footprint</t>
  </si>
  <si>
    <t>General product and manufacturer information</t>
  </si>
  <si>
    <t>Material and composition</t>
  </si>
  <si>
    <t>Circularity and resource efficiency</t>
  </si>
  <si>
    <t>[Poland, Main Street 34]</t>
  </si>
  <si>
    <t>Lifelong warranty through OnePans circular system</t>
  </si>
  <si>
    <t>Through the recoating process a used OnePan can be returned to an as-good-as-new-level. This process makes it possible to reuse a OnePan again and again and extend its life significantly. Instead of having to buy a new pan when the coating no longer function as intended. Also, the recoating process makes it possible to have a pan coating upgraded if a new formula is released.</t>
  </si>
  <si>
    <t>The handle is attached to the pan body with a screw and can be easily removed. The body and bottom plate can be separated and recycled via the circular system and OnePan AB suppliers.</t>
  </si>
  <si>
    <t>ONEPan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</si>
</sst>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color rgb="FF000000"/>
      <name val="Aptos Narrow"/>
      <family val="2"/>
      <scheme val="minor"/>
    </font>
    <font>
      <sz val="8"/>
      <name val="Aptos Narrow"/>
      <family val="2"/>
      <scheme val="minor"/>
    </font>
    <font>
      <sz val="11"/>
      <color theme="5"/>
      <name val="Aptos Narrow"/>
      <family val="2"/>
      <scheme val="minor"/>
    </font>
    <font>
      <sz val="11"/>
      <color rgb="FF1A1A1A"/>
      <name val="Aptos Narrow"/>
      <family val="2"/>
      <scheme val="minor"/>
    </font>
    <font>
      <i/>
      <sz val="11"/>
      <color rgb="FF1A1A1A"/>
      <name val="Aptos Narrow"/>
      <family val="2"/>
      <scheme val="minor"/>
    </font>
    <font>
      <u/>
      <sz val="11"/>
      <color theme="10"/>
      <name val="Aptos Narrow"/>
      <family val="2"/>
      <scheme val="minor"/>
    </font>
    <font>
      <sz val="11"/>
      <color theme="1"/>
      <name val="Arial"/>
      <family val="2"/>
    </font>
    <font>
      <sz val="9.35"/>
      <color theme="1"/>
      <name val="Aptos Narrow"/>
      <family val="2"/>
    </font>
    <font>
      <b/>
      <sz val="9"/>
      <color indexed="81"/>
      <name val="Tahoma"/>
      <family val="2"/>
    </font>
    <font>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24" fillId="0" borderId="0" applyNumberFormat="0" applyFill="0" applyBorder="0" applyAlignment="0" applyProtection="0"/>
  </cellStyleXfs>
  <cellXfs count="31">
    <xf numFmtId="0" fontId="0" fillId="0" borderId="0" xfId="0"/>
    <xf numFmtId="0" fontId="0" fillId="0" borderId="0" xfId="0" applyAlignment="1">
      <alignment wrapText="1"/>
    </xf>
    <xf numFmtId="0" fontId="18" fillId="0" borderId="0" xfId="0" applyFont="1"/>
    <xf numFmtId="49" fontId="18" fillId="0" borderId="0" xfId="0" applyNumberFormat="1" applyFont="1" applyAlignment="1">
      <alignment horizontal="left" wrapText="1"/>
    </xf>
    <xf numFmtId="0" fontId="19" fillId="0" borderId="0" xfId="0" applyFont="1"/>
    <xf numFmtId="0" fontId="18" fillId="0" borderId="0" xfId="0" applyFont="1" applyAlignment="1">
      <alignment horizontal="left"/>
    </xf>
    <xf numFmtId="0" fontId="18" fillId="0" borderId="0" xfId="0" quotePrefix="1" applyFont="1" applyAlignment="1">
      <alignment horizontal="left"/>
    </xf>
    <xf numFmtId="0" fontId="18" fillId="0" borderId="0" xfId="0" quotePrefix="1" applyFont="1" applyAlignment="1">
      <alignment horizontal="left" wrapText="1"/>
    </xf>
    <xf numFmtId="0" fontId="18" fillId="0" borderId="0" xfId="0" applyFont="1" applyAlignment="1">
      <alignment horizontal="left" wrapText="1"/>
    </xf>
    <xf numFmtId="14" fontId="18" fillId="0" borderId="0" xfId="0" applyNumberFormat="1" applyFont="1" applyAlignment="1">
      <alignment horizontal="left"/>
    </xf>
    <xf numFmtId="9" fontId="18" fillId="0" borderId="0" xfId="0" applyNumberFormat="1" applyFont="1" applyAlignment="1">
      <alignment horizontal="left"/>
    </xf>
    <xf numFmtId="0" fontId="0" fillId="0" borderId="0" xfId="0" applyAlignment="1">
      <alignment horizontal="center"/>
    </xf>
    <xf numFmtId="0" fontId="14" fillId="0" borderId="0" xfId="0" applyFont="1"/>
    <xf numFmtId="0" fontId="0" fillId="0" borderId="0" xfId="0" applyFill="1" applyAlignment="1">
      <alignment horizontal="center"/>
    </xf>
    <xf numFmtId="0" fontId="0" fillId="0" borderId="0" xfId="0" applyFill="1"/>
    <xf numFmtId="0" fontId="18" fillId="0" borderId="0" xfId="0" applyFont="1" applyFill="1"/>
    <xf numFmtId="0" fontId="18" fillId="0" borderId="0" xfId="0" applyFont="1" applyFill="1" applyAlignment="1">
      <alignment wrapText="1"/>
    </xf>
    <xf numFmtId="0" fontId="21" fillId="0" borderId="0" xfId="0" applyFont="1"/>
    <xf numFmtId="0" fontId="22" fillId="0" borderId="0" xfId="0" applyFont="1" applyAlignment="1">
      <alignment vertical="center" wrapText="1"/>
    </xf>
    <xf numFmtId="0" fontId="14" fillId="0" borderId="0" xfId="0" applyFont="1" applyAlignment="1">
      <alignment vertical="center" wrapText="1"/>
    </xf>
    <xf numFmtId="0" fontId="22" fillId="33" borderId="0" xfId="0" applyFont="1" applyFill="1" applyAlignment="1">
      <alignment vertical="center" wrapText="1"/>
    </xf>
    <xf numFmtId="0" fontId="14" fillId="0" borderId="0" xfId="0" applyFont="1" applyFill="1"/>
    <xf numFmtId="0" fontId="6" fillId="2" borderId="0" xfId="6"/>
    <xf numFmtId="0" fontId="7" fillId="3" borderId="0" xfId="7"/>
    <xf numFmtId="2" fontId="0" fillId="0" borderId="0" xfId="0" applyNumberFormat="1"/>
    <xf numFmtId="14" fontId="0" fillId="0" borderId="0" xfId="0" applyNumberFormat="1"/>
    <xf numFmtId="0" fontId="24" fillId="0" borderId="0" xfId="43"/>
    <xf numFmtId="0" fontId="16" fillId="0" borderId="0" xfId="0" applyFont="1"/>
    <xf numFmtId="0" fontId="19" fillId="0" borderId="0" xfId="0" applyFont="1" applyAlignment="1">
      <alignment wrapText="1"/>
    </xf>
    <xf numFmtId="0" fontId="0" fillId="33" borderId="0" xfId="0" applyFill="1" applyAlignment="1">
      <alignment wrapText="1"/>
    </xf>
    <xf numFmtId="14" fontId="0" fillId="0" borderId="0" xfId="0" applyNumberFormat="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4F72FA2B-6062-C54D-A0A9-F004F152219B}"/>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color rgb="FF006100"/>
      </font>
      <fill>
        <patternFill>
          <bgColor rgb="FFC6EFCE"/>
        </patternFill>
      </fill>
    </dxf>
    <dxf>
      <font>
        <color rgb="FF9C0006"/>
      </font>
      <fill>
        <patternFill>
          <bgColor rgb="FFFFC7CE"/>
        </patternFill>
      </fill>
    </dxf>
    <dxf>
      <fill>
        <patternFill>
          <bgColor theme="5" tint="0.59996337778862885"/>
        </patternFill>
      </fill>
    </dxf>
    <dxf>
      <fill>
        <patternFill>
          <bgColor theme="3" tint="0.74996185186315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ill>
        <patternFill>
          <bgColor theme="3" tint="0.749961851863155"/>
        </patternFill>
      </fill>
    </dxf>
    <dxf>
      <fill>
        <patternFill>
          <bgColor theme="5" tint="0.59996337778862885"/>
        </patternFill>
      </fill>
    </dxf>
    <dxf>
      <fill>
        <patternFill>
          <bgColor theme="3" tint="0.749961851863155"/>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Berenice Gudino" id="{4A14ED8E-5F58-8943-A669-667E2CF0095E}" userId="S::berenice.gudino@chalmersindustriteknik.se::45f263b2-2563-4537-bfe5-38d978b32c2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06" dT="2025-04-24T08:26:03.16" personId="{4A14ED8E-5F58-8943-A669-667E2CF0095E}" id="{2F3EDC4E-28FE-B049-9973-314DE5C44AFD}">
    <text>Units?</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onepan.se/pages/hur-du-tar-hand-om-din-onepan?_gl=1*1a84e5*_up*MQ..*_gs*MQ..&amp;gclid=EAIaIQobChMI6OPf8vezjAMVqWaRBR2K3SryEAAYASAAEgKRpPD_BwE" TargetMode="External"/><Relationship Id="rId1" Type="http://schemas.openxmlformats.org/officeDocument/2006/relationships/hyperlink" Target="https://onepan.se/pages/hur-du-tar-hand-om-din-onepan?_gl=1*1a84e5*_up*MQ..*_gs*MQ..&amp;gclid=EAIaIQobChMI6OPf8vezjAMVqWaRBR2K3SryEAAYASAAEgKRpPD_BwE"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0A29-C29E-1746-BC3B-9F1F909FD312}">
  <dimension ref="A1:K51"/>
  <sheetViews>
    <sheetView tabSelected="1" topLeftCell="A12" workbookViewId="0">
      <selection activeCell="I45" sqref="I45:J45"/>
    </sheetView>
  </sheetViews>
  <sheetFormatPr baseColWidth="10" defaultRowHeight="15" x14ac:dyDescent="0.2"/>
  <cols>
    <col min="1" max="1" width="37.83203125" bestFit="1" customWidth="1"/>
    <col min="2" max="2" width="16.6640625" bestFit="1" customWidth="1"/>
    <col min="4" max="4" width="48.83203125" bestFit="1" customWidth="1"/>
    <col min="10" max="10" width="52.83203125" style="1" customWidth="1"/>
  </cols>
  <sheetData>
    <row r="1" spans="1:11" ht="16" x14ac:dyDescent="0.2">
      <c r="A1" t="str">
        <f>parameter_metadata_original!A1</f>
        <v>category</v>
      </c>
      <c r="B1" t="str">
        <f>parameter_metadata_original!B1</f>
        <v>Relevant for use case</v>
      </c>
      <c r="C1" t="str">
        <f>parameter_metadata_original!C1</f>
        <v>sub_category</v>
      </c>
      <c r="D1" t="str">
        <f>parameter_metadata_original!D1</f>
        <v>parameter</v>
      </c>
      <c r="E1" t="str">
        <f>parameter_metadata_original!E1</f>
        <v>order_parameter</v>
      </c>
      <c r="F1" t="str">
        <f>parameter_metadata_original!F1</f>
        <v>subparameter</v>
      </c>
      <c r="G1" t="str">
        <f>parameter_metadata_original!G1</f>
        <v>access</v>
      </c>
      <c r="H1" t="str">
        <f>parameter_metadata_original!H1</f>
        <v>type</v>
      </c>
      <c r="I1" t="str">
        <f>parameter_metadata_original!I1</f>
        <v>example data(text)</v>
      </c>
      <c r="J1" s="1" t="str">
        <f>parameter_metadata_original!J1</f>
        <v>example data</v>
      </c>
      <c r="K1" t="str">
        <f>parameter_metadata_original!K1</f>
        <v>data model definition string</v>
      </c>
    </row>
    <row r="2" spans="1:11" x14ac:dyDescent="0.2">
      <c r="A2" t="str">
        <f>parameter_metadata_original!A3</f>
        <v>1. General product and manufacturer information</v>
      </c>
      <c r="B2" t="str">
        <f>parameter_metadata_original!B3</f>
        <v>x</v>
      </c>
      <c r="C2" t="str">
        <f>parameter_metadata_original!C3</f>
        <v>General product and manufacturer information</v>
      </c>
      <c r="D2" t="str">
        <f>parameter_metadata_original!D3</f>
        <v>Product ID</v>
      </c>
      <c r="E2">
        <v>1</v>
      </c>
      <c r="G2" t="str">
        <f>parameter_metadata_original!G3</f>
        <v>Public</v>
      </c>
      <c r="H2" t="str">
        <f>parameter_metadata_original!H3</f>
        <v>Static</v>
      </c>
      <c r="I2">
        <f>parameter_metadata_original!I3</f>
        <v>0</v>
      </c>
      <c r="J2" s="1">
        <v>1</v>
      </c>
      <c r="K2" t="str">
        <f>parameter_metadata_original!K3</f>
        <v>{"Product ID": {"@type":"gs1:gtin","value": {"@value":"", "@type":"xsd:string"}}}</v>
      </c>
    </row>
    <row r="3" spans="1:11" x14ac:dyDescent="0.2">
      <c r="A3" t="str">
        <f>parameter_metadata_original!A5</f>
        <v>1. General product and manufacturer information</v>
      </c>
      <c r="B3" t="str">
        <f>parameter_metadata_original!B5</f>
        <v>x</v>
      </c>
      <c r="C3" t="str">
        <f>parameter_metadata_original!C5</f>
        <v>General product and manufacturer information</v>
      </c>
      <c r="D3" t="str">
        <f>parameter_metadata_original!D5</f>
        <v>Manufacturing date</v>
      </c>
      <c r="E3">
        <v>3</v>
      </c>
      <c r="G3" t="str">
        <f>parameter_metadata_original!G5</f>
        <v>Public</v>
      </c>
      <c r="H3" t="str">
        <f>parameter_metadata_original!H5</f>
        <v>Static</v>
      </c>
      <c r="I3">
        <f>parameter_metadata_original!I5</f>
        <v>0</v>
      </c>
      <c r="K3" t="str">
        <f>parameter_metadata_original!K5</f>
        <v>{"Manufacturing date": {"@type":"gs1:productionDateTime", "value": {"@value":"", "@type":"xsd:dateTime"}}}</v>
      </c>
    </row>
    <row r="4" spans="1:11" ht="16" x14ac:dyDescent="0.2">
      <c r="A4" t="str">
        <f>parameter_metadata_original!A6</f>
        <v>1. General product and manufacturer information</v>
      </c>
      <c r="B4" t="str">
        <f>parameter_metadata_original!B6</f>
        <v>x</v>
      </c>
      <c r="C4" t="str">
        <f>parameter_metadata_original!C6</f>
        <v>General product and manufacturer information</v>
      </c>
      <c r="D4" t="str">
        <f>parameter_metadata_original!D6</f>
        <v>Manufactured by</v>
      </c>
      <c r="E4">
        <v>4</v>
      </c>
      <c r="G4" t="str">
        <f>parameter_metadata_original!G6</f>
        <v>Public</v>
      </c>
      <c r="H4" t="str">
        <f>parameter_metadata_original!H6</f>
        <v>Static</v>
      </c>
      <c r="I4" t="str">
        <f>parameter_metadata_original!I6</f>
        <v>ONEPan AB, Bögatan 1, SE-412 72 Göteborg, Sweden</v>
      </c>
      <c r="J4" s="1" t="str">
        <f>parameter_metadata_original!J6</f>
        <v>ONEPan AB, Bögatan 1, SE-412 72 Göteborg, Sweden</v>
      </c>
      <c r="K4" t="str">
        <f>parameter_metadata_original!K6</f>
        <v>{"Manufactured by": {"@type":"gs1:organizationName", "value": {"@value": "", "@type":"xsd:string"}}}</v>
      </c>
    </row>
    <row r="5" spans="1:11" ht="16" x14ac:dyDescent="0.2">
      <c r="A5" t="str">
        <f>parameter_metadata_original!A7</f>
        <v>1. General product and manufacturer information</v>
      </c>
      <c r="B5" t="str">
        <f>parameter_metadata_original!B7</f>
        <v>x</v>
      </c>
      <c r="C5" t="str">
        <f>parameter_metadata_original!C7</f>
        <v>General product and manufacturer information</v>
      </c>
      <c r="D5" t="str">
        <f>parameter_metadata_original!D7</f>
        <v>Manufacturing place</v>
      </c>
      <c r="E5">
        <v>5</v>
      </c>
      <c r="F5" t="str">
        <f>parameter_metadata_original!F7</f>
        <v>[City, Address]</v>
      </c>
      <c r="G5" t="str">
        <f>parameter_metadata_original!G7</f>
        <v>Public</v>
      </c>
      <c r="H5" t="str">
        <f>parameter_metadata_original!H7</f>
        <v>Static</v>
      </c>
      <c r="I5" t="str">
        <f>parameter_metadata_original!I7</f>
        <v>[Poland, Main Street 34]</v>
      </c>
      <c r="J5" s="1" t="str">
        <f>parameter_metadata_original!J7</f>
        <v>[Poland, Main Street 34]</v>
      </c>
      <c r="K5" t="str">
        <f>parameter_metadata_original!K7</f>
        <v>{"Manufacturing place" : {"@type":"gs1:address", "City": {"@type":"gs1:addressLocality", "value":{"@value": "", "@type":"xsd:string"}} , "Address":{"@type":"gs1:streetAddress",  "value":{"@value": "", "@type":"xsd:string"}}}}</v>
      </c>
    </row>
    <row r="6" spans="1:11" ht="16" x14ac:dyDescent="0.2">
      <c r="A6" t="str">
        <f>parameter_metadata_original!A8</f>
        <v>1. General product and manufacturer information</v>
      </c>
      <c r="B6" t="str">
        <f>parameter_metadata_original!B8</f>
        <v>x</v>
      </c>
      <c r="C6" t="str">
        <f>parameter_metadata_original!C8</f>
        <v>General product and manufacturer information</v>
      </c>
      <c r="D6" t="str">
        <f>parameter_metadata_original!D8</f>
        <v>Product category</v>
      </c>
      <c r="E6">
        <v>6</v>
      </c>
      <c r="G6" t="str">
        <f>parameter_metadata_original!G8</f>
        <v>Public</v>
      </c>
      <c r="H6" t="str">
        <f>parameter_metadata_original!H8</f>
        <v>Static</v>
      </c>
      <c r="I6" t="str">
        <f>parameter_metadata_original!I8</f>
        <v>Cookware</v>
      </c>
      <c r="J6" s="1" t="str">
        <f>parameter_metadata_original!J8</f>
        <v>Cookware</v>
      </c>
      <c r="K6" t="str">
        <f>parameter_metadata_original!K8</f>
        <v>{"Product category" : {"@type":"gs1:brandName", "value":{"@value":"", "@type":"rdf:langString"}}}</v>
      </c>
    </row>
    <row r="7" spans="1:11" ht="16" x14ac:dyDescent="0.2">
      <c r="A7" t="str">
        <f>parameter_metadata_original!A9</f>
        <v>1. General product and manufacturer information</v>
      </c>
      <c r="B7" t="str">
        <f>parameter_metadata_original!B9</f>
        <v>x</v>
      </c>
      <c r="C7" t="str">
        <f>parameter_metadata_original!C9</f>
        <v>General product and manufacturer information</v>
      </c>
      <c r="D7" t="str">
        <f>parameter_metadata_original!D9</f>
        <v>Economic operator</v>
      </c>
      <c r="E7">
        <v>7</v>
      </c>
      <c r="G7" t="str">
        <f>parameter_metadata_original!G9</f>
        <v>Public</v>
      </c>
      <c r="H7" t="str">
        <f>parameter_metadata_original!H9</f>
        <v>Static</v>
      </c>
      <c r="I7" t="str">
        <f>parameter_metadata_original!I9</f>
        <v>ONEPan AB</v>
      </c>
      <c r="J7" s="1" t="str">
        <f>parameter_metadata_original!J9</f>
        <v>ONEPan AB</v>
      </c>
      <c r="K7" t="str">
        <f>parameter_metadata_original!K9</f>
        <v>{"Economic operator" : {"@type":"schema:legalName",  "value": {"@value":"", "@type":"xsd:string"}}}</v>
      </c>
    </row>
    <row r="8" spans="1:11" x14ac:dyDescent="0.2">
      <c r="A8" t="str">
        <f>parameter_metadata_original!A14</f>
        <v>1. General product and manufacturer information</v>
      </c>
      <c r="B8" t="str">
        <f>parameter_metadata_original!B14</f>
        <v>x</v>
      </c>
      <c r="C8" t="str">
        <f>parameter_metadata_original!C14</f>
        <v>Product specification</v>
      </c>
      <c r="D8" t="str">
        <f>parameter_metadata_original!D14</f>
        <v>Original weight</v>
      </c>
      <c r="E8">
        <v>8</v>
      </c>
      <c r="G8" t="str">
        <f>parameter_metadata_original!G14</f>
        <v>Public</v>
      </c>
      <c r="H8" t="str">
        <f>parameter_metadata_original!H14</f>
        <v>Static</v>
      </c>
      <c r="I8">
        <f>parameter_metadata_original!I14</f>
        <v>1.7</v>
      </c>
      <c r="J8" s="1">
        <f>parameter_metadata_original!J14</f>
        <v>2.7</v>
      </c>
      <c r="K8" t="str">
        <f>parameter_metadata_original!K14</f>
        <v>{"Original weight" : {"value":{"@value":"", "@type":"xsd:float", "unitCode":"KGM"}}}</v>
      </c>
    </row>
    <row r="9" spans="1:11" ht="16" x14ac:dyDescent="0.2">
      <c r="A9" t="str">
        <f>parameter_metadata_original!A15</f>
        <v>1. General product and manufacturer information</v>
      </c>
      <c r="B9" t="str">
        <f>parameter_metadata_original!B15</f>
        <v>x</v>
      </c>
      <c r="C9" t="str">
        <f>parameter_metadata_original!C15</f>
        <v>Product specification</v>
      </c>
      <c r="D9" t="str">
        <f>parameter_metadata_original!D15</f>
        <v>Dimensions</v>
      </c>
      <c r="E9">
        <v>9</v>
      </c>
      <c r="G9" t="str">
        <f>parameter_metadata_original!G15</f>
        <v>Public</v>
      </c>
      <c r="H9" t="str">
        <f>parameter_metadata_original!H15</f>
        <v>Static</v>
      </c>
      <c r="I9" t="str">
        <f>parameter_metadata_original!I15</f>
        <v>Diameter 28 cm; Height 5 cm; Thickness bottom plate 0.55 cm; Handle length 21 cm</v>
      </c>
      <c r="J9" s="1" t="str">
        <f>parameter_metadata_original!J15</f>
        <v>Diameter 28 cm; Height 5 cm; Thickness bottom plate 0.55 cm; Handle length 21 cm</v>
      </c>
      <c r="K9" t="str">
        <f>parameter_metadata_original!K15</f>
        <v>{"Dimensions":{ "value": {"@value":"", "@type":"xsd:string"}}}</v>
      </c>
    </row>
    <row r="10" spans="1:11" x14ac:dyDescent="0.2">
      <c r="A10" t="str">
        <f>parameter_metadata_original!A22</f>
        <v>1. General product and manufacturer information</v>
      </c>
      <c r="B10" t="str">
        <f>parameter_metadata_original!B22</f>
        <v>x</v>
      </c>
      <c r="C10" t="str">
        <f>parameter_metadata_original!C22</f>
        <v>General product and manufacturer information</v>
      </c>
      <c r="D10" t="str">
        <f>parameter_metadata_original!D22</f>
        <v>Date of purchase</v>
      </c>
      <c r="E10">
        <v>10</v>
      </c>
      <c r="G10" t="str">
        <f>parameter_metadata_original!G22</f>
        <v>Public</v>
      </c>
      <c r="H10" t="str">
        <f>parameter_metadata_original!H22</f>
        <v>Static</v>
      </c>
      <c r="I10">
        <f>parameter_metadata_original!I22</f>
        <v>0</v>
      </c>
      <c r="K10" t="str">
        <f>parameter_metadata_original!K22</f>
        <v>{"Date of purchase" : {"value":{"@value":"", "@type":"xsd:dateTime"}}}</v>
      </c>
    </row>
    <row r="11" spans="1:11" x14ac:dyDescent="0.2">
      <c r="A11" t="str">
        <f>parameter_metadata_original!A23</f>
        <v>1. General product and manufacturer information</v>
      </c>
      <c r="B11" t="str">
        <f>parameter_metadata_original!B23</f>
        <v>x</v>
      </c>
      <c r="C11" t="str">
        <f>parameter_metadata_original!C23</f>
        <v>General product and manufacturer information</v>
      </c>
      <c r="D11" t="str">
        <f>parameter_metadata_original!D23</f>
        <v>Date of product registration on website</v>
      </c>
      <c r="E11">
        <v>11</v>
      </c>
      <c r="G11" t="str">
        <f>parameter_metadata_original!G23</f>
        <v>Public</v>
      </c>
      <c r="H11" t="str">
        <f>parameter_metadata_original!H23</f>
        <v>Static</v>
      </c>
      <c r="I11" s="25">
        <f>parameter_metadata_original!I23</f>
        <v>45541</v>
      </c>
      <c r="J11" s="30">
        <f>parameter_metadata_original!J23</f>
        <v>45541</v>
      </c>
      <c r="K11" t="str">
        <f>parameter_metadata_original!K23</f>
        <v>{"Date of product registration on website" : {"value":{"@value":"", "@type":"xsd:dateTime"}}}</v>
      </c>
    </row>
    <row r="12" spans="1:11" ht="16" x14ac:dyDescent="0.2">
      <c r="A12" t="str">
        <f>parameter_metadata_original!A26</f>
        <v>1. General product and manufacturer information</v>
      </c>
      <c r="B12" t="str">
        <f>parameter_metadata_original!B26</f>
        <v>x</v>
      </c>
      <c r="C12" t="str">
        <f>parameter_metadata_original!C26</f>
        <v>Product specification</v>
      </c>
      <c r="D12" t="str">
        <f>parameter_metadata_original!D26</f>
        <v>Ovenproof</v>
      </c>
      <c r="E12">
        <v>12</v>
      </c>
      <c r="G12" t="str">
        <f>parameter_metadata_original!G26</f>
        <v>Public</v>
      </c>
      <c r="H12" t="str">
        <f>parameter_metadata_original!H26</f>
        <v>Static</v>
      </c>
      <c r="I12" t="str">
        <f>parameter_metadata_original!I26</f>
        <v>Withstands temperatures up to 280 ºC</v>
      </c>
      <c r="J12" s="1" t="str">
        <f>parameter_metadata_original!J26</f>
        <v>Withstands temperatures up to 280 ºC</v>
      </c>
      <c r="K12" t="str">
        <f>parameter_metadata_original!K26</f>
        <v>{"Ovenproof" : {"value":{"@value":"", "@type":"xsd:string"}}}</v>
      </c>
    </row>
    <row r="13" spans="1:11" ht="16" x14ac:dyDescent="0.2">
      <c r="A13" t="str">
        <f>parameter_metadata_original!A27</f>
        <v>1. General product and manufacturer information</v>
      </c>
      <c r="B13" t="str">
        <f>parameter_metadata_original!B27</f>
        <v>x</v>
      </c>
      <c r="C13" t="str">
        <f>parameter_metadata_original!C27</f>
        <v>Product specification</v>
      </c>
      <c r="D13" t="str">
        <f>parameter_metadata_original!D27</f>
        <v>Heat sources</v>
      </c>
      <c r="E13">
        <v>13</v>
      </c>
      <c r="G13" t="str">
        <f>parameter_metadata_original!G27</f>
        <v>Public</v>
      </c>
      <c r="H13" t="str">
        <f>parameter_metadata_original!H27</f>
        <v>Static</v>
      </c>
      <c r="I13" t="str">
        <f>parameter_metadata_original!I27</f>
        <v>Suitable for all heat soruces: induction, gas, open fire</v>
      </c>
      <c r="J13" s="1" t="str">
        <f>parameter_metadata_original!J27</f>
        <v>Suitable for all heat soruces: induction, gas, open fire</v>
      </c>
      <c r="K13" t="str">
        <f>parameter_metadata_original!K27</f>
        <v>{"Heat sources" : {"value":{"@value":"", "@type":"xsd:string"}}}</v>
      </c>
    </row>
    <row r="14" spans="1:11" x14ac:dyDescent="0.2">
      <c r="A14" t="str">
        <f>parameter_metadata_original!A45</f>
        <v>3. Carbon footprint</v>
      </c>
      <c r="B14" t="str">
        <f>parameter_metadata_original!B45</f>
        <v>x</v>
      </c>
      <c r="C14" t="str">
        <f>parameter_metadata_original!C45</f>
        <v>Carbon footprint</v>
      </c>
      <c r="D14" t="str">
        <f>parameter_metadata_original!D45</f>
        <v>CO2 footprint manufacturing (cradle to gate) (to warehouse)</v>
      </c>
      <c r="E14">
        <v>14</v>
      </c>
      <c r="G14" t="str">
        <f>parameter_metadata_original!G45</f>
        <v>Public</v>
      </c>
      <c r="H14" t="str">
        <f>parameter_metadata_original!H45</f>
        <v>Static</v>
      </c>
      <c r="I14">
        <f>parameter_metadata_original!I45</f>
        <v>27</v>
      </c>
      <c r="J14" s="1">
        <f>parameter_metadata_original!J45</f>
        <v>27</v>
      </c>
      <c r="K14" t="str">
        <f>parameter_metadata_original!K45</f>
        <v>{"CO2 footprint manufacturing (cradle to gate) (to warehouse)" : {"value":{"@value":"", "@type":"xsd:float",  "unitCode":"CO2"}}}</v>
      </c>
    </row>
    <row r="15" spans="1:11" x14ac:dyDescent="0.2">
      <c r="A15" t="str">
        <f>parameter_metadata_original!A46</f>
        <v>3. Carbon footprint</v>
      </c>
      <c r="B15" t="str">
        <f>parameter_metadata_original!B46</f>
        <v>x</v>
      </c>
      <c r="C15" t="str">
        <f>parameter_metadata_original!C46</f>
        <v>Carbon footprint</v>
      </c>
      <c r="D15" t="str">
        <f>parameter_metadata_original!D46</f>
        <v>CO2 footprint refurbishment (recoating process)</v>
      </c>
      <c r="E15">
        <v>15</v>
      </c>
      <c r="G15" t="str">
        <f>parameter_metadata_original!G46</f>
        <v>Public</v>
      </c>
      <c r="H15" t="str">
        <f>parameter_metadata_original!H46</f>
        <v>Static</v>
      </c>
      <c r="I15">
        <f>parameter_metadata_original!I46</f>
        <v>1.3440000000000001</v>
      </c>
      <c r="J15" s="1">
        <f>parameter_metadata_original!J46</f>
        <v>1.3440000000000001</v>
      </c>
      <c r="K15" t="str">
        <f>parameter_metadata_original!K46</f>
        <v>{"CO2 footprint refurbishment (recoating process)" : {"value":{"@value":"", "@type":"xsd:float", "unitCode":"CO2"}}}</v>
      </c>
    </row>
    <row r="16" spans="1:11" x14ac:dyDescent="0.2">
      <c r="A16" t="str">
        <f>parameter_metadata_original!A51</f>
        <v>3. Carbon footprint</v>
      </c>
      <c r="B16" t="str">
        <f>parameter_metadata_original!B51</f>
        <v>x</v>
      </c>
      <c r="C16" t="str">
        <f>parameter_metadata_original!C51</f>
        <v>Carbon footprint</v>
      </c>
      <c r="D16" t="str">
        <f>parameter_metadata_original!D51</f>
        <v>CO2 footprint EOL (recycling)</v>
      </c>
      <c r="E16">
        <v>16</v>
      </c>
      <c r="G16" t="str">
        <f>parameter_metadata_original!G51</f>
        <v>Public</v>
      </c>
      <c r="H16" t="str">
        <f>parameter_metadata_original!H51</f>
        <v>Static</v>
      </c>
      <c r="I16">
        <f>parameter_metadata_original!I51</f>
        <v>0</v>
      </c>
      <c r="K16" t="str">
        <f>parameter_metadata_original!K51</f>
        <v>{"CO2 footprint EOL (recycling)" : {"value":{"@value":"", "@type":"xsd:float", "unitCode":"CO2"}}}</v>
      </c>
    </row>
    <row r="17" spans="1:11" x14ac:dyDescent="0.2">
      <c r="A17" t="str">
        <f>parameter_metadata_original!A52</f>
        <v>3. Carbon footprint</v>
      </c>
      <c r="B17" t="str">
        <f>parameter_metadata_original!B52</f>
        <v>x</v>
      </c>
      <c r="C17" t="str">
        <f>parameter_metadata_original!C52</f>
        <v>Carbon footprint</v>
      </c>
      <c r="D17" t="str">
        <f>parameter_metadata_original!D52</f>
        <v>Min allowed weight</v>
      </c>
      <c r="E17">
        <v>17</v>
      </c>
      <c r="G17" t="str">
        <f>parameter_metadata_original!G52</f>
        <v>Private</v>
      </c>
      <c r="H17" t="str">
        <f>parameter_metadata_original!H52</f>
        <v>Static</v>
      </c>
      <c r="I17">
        <f>parameter_metadata_original!I52</f>
        <v>0</v>
      </c>
      <c r="K17" t="str">
        <f>parameter_metadata_original!K52</f>
        <v>{"Min allowed weight" : {"value":{"@value":"", "@type":"xsd:string", "unitCode":"KGM"}}}</v>
      </c>
    </row>
    <row r="18" spans="1:11" ht="16" x14ac:dyDescent="0.2">
      <c r="A18" t="str">
        <f>parameter_metadata_original!A54</f>
        <v>3. Carbon footprint</v>
      </c>
      <c r="B18" t="str">
        <f>parameter_metadata_original!B54</f>
        <v>x</v>
      </c>
      <c r="C18" t="str">
        <f>parameter_metadata_original!C54</f>
        <v>Carbon footprint</v>
      </c>
      <c r="D18" t="str">
        <f>parameter_metadata_original!D54</f>
        <v>Refurbished in</v>
      </c>
      <c r="E18">
        <v>18</v>
      </c>
      <c r="G18" t="str">
        <f>parameter_metadata_original!G54</f>
        <v>Private</v>
      </c>
      <c r="H18" t="str">
        <f>parameter_metadata_original!H54</f>
        <v>Static</v>
      </c>
      <c r="I18" t="str">
        <f>parameter_metadata_original!I54</f>
        <v>Sweden</v>
      </c>
      <c r="J18" s="1" t="str">
        <f>parameter_metadata_original!J54</f>
        <v>Sweden</v>
      </c>
      <c r="K18" t="str">
        <f>parameter_metadata_original!K54</f>
        <v>{"Refurbished in" : {"value":{"@value":"", "@type":"xsd:string"}}}</v>
      </c>
    </row>
    <row r="19" spans="1:11" ht="16" x14ac:dyDescent="0.2">
      <c r="A19" t="str">
        <f>parameter_metadata_original!A19</f>
        <v>5. Material and composition</v>
      </c>
      <c r="B19" t="str">
        <f>parameter_metadata_original!B19</f>
        <v>x</v>
      </c>
      <c r="C19" t="str">
        <f>parameter_metadata_original!C19</f>
        <v>Material and composition</v>
      </c>
      <c r="D19" t="str">
        <f>parameter_metadata_original!D19</f>
        <v>Hazardous substances, other than Hg, Cd, Pb</v>
      </c>
      <c r="E19">
        <v>19</v>
      </c>
      <c r="G19" t="str">
        <f>parameter_metadata_original!G19</f>
        <v>Public</v>
      </c>
      <c r="H19" t="str">
        <f>parameter_metadata_original!H19</f>
        <v>Static</v>
      </c>
      <c r="I19" t="str">
        <f>parameter_metadata_original!I19</f>
        <v>No</v>
      </c>
      <c r="J19" s="1" t="str">
        <f>parameter_metadata_original!J19</f>
        <v>No</v>
      </c>
      <c r="K19" t="str">
        <f>parameter_metadata_original!K19</f>
        <v>{"Hazardous substances, other than Hg, Cd, Pb" : {"value":{"@value":"", "@type":"xsd:string"}}}</v>
      </c>
    </row>
    <row r="20" spans="1:11" x14ac:dyDescent="0.2">
      <c r="A20" t="str">
        <f>parameter_metadata_original!A28</f>
        <v>5. Material and composition</v>
      </c>
      <c r="B20" t="str">
        <f>parameter_metadata_original!B28</f>
        <v>x</v>
      </c>
      <c r="C20" t="str">
        <f>parameter_metadata_original!C28</f>
        <v>Components</v>
      </c>
      <c r="D20" t="str">
        <f>parameter_metadata_original!D28</f>
        <v>Number of components</v>
      </c>
      <c r="E20">
        <v>20</v>
      </c>
      <c r="G20" t="str">
        <f>parameter_metadata_original!G28</f>
        <v>Public</v>
      </c>
      <c r="H20" t="str">
        <f>parameter_metadata_original!H28</f>
        <v>Static</v>
      </c>
      <c r="I20">
        <f>parameter_metadata_original!I28</f>
        <v>3</v>
      </c>
      <c r="J20" s="1">
        <f>parameter_metadata_original!J28</f>
        <v>4</v>
      </c>
      <c r="K20" t="str">
        <f>parameter_metadata_original!K28</f>
        <v>{"Number of components" : {"value":{"@value":"", "@type":"xsd:int"}}}</v>
      </c>
    </row>
    <row r="21" spans="1:11" ht="16" x14ac:dyDescent="0.2">
      <c r="A21" t="str">
        <f>parameter_metadata_original!A29</f>
        <v>5. Material and composition</v>
      </c>
      <c r="B21" t="str">
        <f>parameter_metadata_original!B29</f>
        <v>x</v>
      </c>
      <c r="C21" t="str">
        <f>parameter_metadata_original!C29</f>
        <v>Components</v>
      </c>
      <c r="D21" t="str">
        <f>parameter_metadata_original!D29</f>
        <v>Components</v>
      </c>
      <c r="E21">
        <v>21</v>
      </c>
      <c r="G21" t="str">
        <f>parameter_metadata_original!G29</f>
        <v>Public</v>
      </c>
      <c r="H21" t="str">
        <f>parameter_metadata_original!H29</f>
        <v>Static</v>
      </c>
      <c r="I21" t="str">
        <f>parameter_metadata_original!I29</f>
        <v>Bottom plate, pan body, handle, coating</v>
      </c>
      <c r="J21" s="1" t="str">
        <f>parameter_metadata_original!J29</f>
        <v>Bottom plate, pan body, handle, coating</v>
      </c>
      <c r="K21" t="str">
        <f>parameter_metadata_original!K29</f>
        <v>{"Components" : {"value":{"@value":"", "@type":"xsd:string"}}}</v>
      </c>
    </row>
    <row r="22" spans="1:11" ht="16" x14ac:dyDescent="0.2">
      <c r="A22" t="str">
        <f>parameter_metadata_original!A30</f>
        <v>5. Material and composition</v>
      </c>
      <c r="B22" t="str">
        <f>parameter_metadata_original!B30</f>
        <v>x</v>
      </c>
      <c r="C22" t="str">
        <f>parameter_metadata_original!C30</f>
        <v>Components</v>
      </c>
      <c r="D22" t="str">
        <f>parameter_metadata_original!D30</f>
        <v>Bottom plate content</v>
      </c>
      <c r="E22">
        <v>22</v>
      </c>
      <c r="G22" t="str">
        <f>parameter_metadata_original!G30</f>
        <v>Public</v>
      </c>
      <c r="H22" t="str">
        <f>parameter_metadata_original!H30</f>
        <v>Static</v>
      </c>
      <c r="I22" t="str">
        <f>parameter_metadata_original!I30</f>
        <v>Stainless steel (magnetic)</v>
      </c>
      <c r="J22" s="1" t="str">
        <f>parameter_metadata_original!J30</f>
        <v>Stainless steel (magnetic)</v>
      </c>
      <c r="K22" t="str">
        <f>parameter_metadata_original!K30</f>
        <v>{"Bottom plate content" : {"value":{"@value":"", "@type":"xsd:string"}}}</v>
      </c>
    </row>
    <row r="23" spans="1:11" ht="16" x14ac:dyDescent="0.2">
      <c r="A23" t="str">
        <f>parameter_metadata_original!A31</f>
        <v>5. Material and composition</v>
      </c>
      <c r="B23" t="str">
        <f>parameter_metadata_original!B31</f>
        <v>x</v>
      </c>
      <c r="C23" t="str">
        <f>parameter_metadata_original!C31</f>
        <v>Components</v>
      </c>
      <c r="D23" t="str">
        <f>parameter_metadata_original!D31</f>
        <v>Pan body content</v>
      </c>
      <c r="E23">
        <v>23</v>
      </c>
      <c r="G23" t="str">
        <f>parameter_metadata_original!G31</f>
        <v>Public</v>
      </c>
      <c r="H23" t="str">
        <f>parameter_metadata_original!H31</f>
        <v>Static</v>
      </c>
      <c r="I23" t="str">
        <f>parameter_metadata_original!I31</f>
        <v xml:space="preserve">Aluminium, 100% recycled </v>
      </c>
      <c r="J23" s="1" t="str">
        <f>parameter_metadata_original!J31</f>
        <v xml:space="preserve">Aluminium, 100% recycled </v>
      </c>
      <c r="K23" t="str">
        <f>parameter_metadata_original!K31</f>
        <v>{"Pan body content" : {"value":{"@value":"", "@type":"xsd:string"}}}</v>
      </c>
    </row>
    <row r="24" spans="1:11" ht="16" x14ac:dyDescent="0.2">
      <c r="A24" t="str">
        <f>parameter_metadata_original!A32</f>
        <v>5. Material and composition</v>
      </c>
      <c r="B24" t="str">
        <f>parameter_metadata_original!B32</f>
        <v>x</v>
      </c>
      <c r="C24" t="str">
        <f>parameter_metadata_original!C32</f>
        <v>Components</v>
      </c>
      <c r="D24" t="str">
        <f>parameter_metadata_original!D32</f>
        <v>Handle content</v>
      </c>
      <c r="E24">
        <v>24</v>
      </c>
      <c r="G24" t="str">
        <f>parameter_metadata_original!G32</f>
        <v>Public</v>
      </c>
      <c r="H24" t="str">
        <f>parameter_metadata_original!H32</f>
        <v>Static</v>
      </c>
      <c r="I24" t="str">
        <f>parameter_metadata_original!I32</f>
        <v>Stainless steel</v>
      </c>
      <c r="J24" s="1" t="str">
        <f>parameter_metadata_original!J32</f>
        <v>Stainless steel</v>
      </c>
      <c r="K24" t="str">
        <f>parameter_metadata_original!K32</f>
        <v>{"Handle content" : {"value":{"@value":"", "@type":"xsd:string"}}}</v>
      </c>
    </row>
    <row r="25" spans="1:11" ht="16" x14ac:dyDescent="0.2">
      <c r="A25" t="str">
        <f>parameter_metadata_original!A33</f>
        <v>5. Material and composition</v>
      </c>
      <c r="B25" t="str">
        <f>parameter_metadata_original!B33</f>
        <v>x</v>
      </c>
      <c r="C25" t="str">
        <f>parameter_metadata_original!C33</f>
        <v>Components</v>
      </c>
      <c r="D25" t="str">
        <f>parameter_metadata_original!D33</f>
        <v>Coating content</v>
      </c>
      <c r="E25">
        <v>25</v>
      </c>
      <c r="G25" t="str">
        <f>parameter_metadata_original!G33</f>
        <v>Public</v>
      </c>
      <c r="H25" t="str">
        <f>parameter_metadata_original!H33</f>
        <v>Static</v>
      </c>
      <c r="I25" t="str">
        <f>parameter_metadata_original!I33</f>
        <v>Ceramic non-stick, PFAS-free</v>
      </c>
      <c r="J25" s="1" t="str">
        <f>parameter_metadata_original!J33</f>
        <v>Ceramic non-stick, PFAS-free</v>
      </c>
      <c r="K25" t="str">
        <f>parameter_metadata_original!K33</f>
        <v>{"Coating content" : {"value":{"@value":"", "@type":"xsd:string"}}}</v>
      </c>
    </row>
    <row r="26" spans="1:11" x14ac:dyDescent="0.2">
      <c r="A26" t="str">
        <f>parameter_metadata_original!A34</f>
        <v>5. Material and composition</v>
      </c>
      <c r="B26" t="str">
        <f>parameter_metadata_original!B34</f>
        <v>x</v>
      </c>
      <c r="C26" t="str">
        <f>parameter_metadata_original!C34</f>
        <v>Components</v>
      </c>
      <c r="D26" t="str">
        <f>parameter_metadata_original!D34</f>
        <v>Bottom plate weight</v>
      </c>
      <c r="E26">
        <v>26</v>
      </c>
      <c r="G26" t="str">
        <f>parameter_metadata_original!G34</f>
        <v>Public</v>
      </c>
      <c r="H26" t="str">
        <f>parameter_metadata_original!H34</f>
        <v>Static</v>
      </c>
      <c r="I26">
        <f>parameter_metadata_original!I34</f>
        <v>0.28000000000000003</v>
      </c>
      <c r="J26" s="1">
        <f>parameter_metadata_original!J34</f>
        <v>0.28000000000000003</v>
      </c>
      <c r="K26" t="str">
        <f>parameter_metadata_original!K34</f>
        <v>{"Bottom plate weight" : {"value":{"@value":"", "@type":"xsd:float", "unitCode":"KGM"}}}</v>
      </c>
    </row>
    <row r="27" spans="1:11" x14ac:dyDescent="0.2">
      <c r="A27" t="str">
        <f>parameter_metadata_original!A35</f>
        <v>5. Material and composition</v>
      </c>
      <c r="B27" t="str">
        <f>parameter_metadata_original!B35</f>
        <v>x</v>
      </c>
      <c r="C27" t="str">
        <f>parameter_metadata_original!C35</f>
        <v>Components</v>
      </c>
      <c r="D27" t="str">
        <f>parameter_metadata_original!D35</f>
        <v>Pan body weight</v>
      </c>
      <c r="E27">
        <v>27</v>
      </c>
      <c r="G27" t="str">
        <f>parameter_metadata_original!G35</f>
        <v>Public</v>
      </c>
      <c r="H27" t="str">
        <f>parameter_metadata_original!H35</f>
        <v>Static</v>
      </c>
      <c r="I27">
        <f>parameter_metadata_original!I35</f>
        <v>1.2</v>
      </c>
      <c r="J27" s="1">
        <f>parameter_metadata_original!J35</f>
        <v>1.2</v>
      </c>
      <c r="K27" t="str">
        <f>parameter_metadata_original!K35</f>
        <v>{"Pan body weight" : {"value":{"@value":"", "@type":"xsd:float", "unitCode":"KGM"}}}</v>
      </c>
    </row>
    <row r="28" spans="1:11" x14ac:dyDescent="0.2">
      <c r="A28" t="str">
        <f>parameter_metadata_original!A36</f>
        <v>5. Material and composition</v>
      </c>
      <c r="B28" t="str">
        <f>parameter_metadata_original!B36</f>
        <v>x</v>
      </c>
      <c r="C28" t="str">
        <f>parameter_metadata_original!C36</f>
        <v>Components</v>
      </c>
      <c r="D28" t="str">
        <f>parameter_metadata_original!D36</f>
        <v>Handle weight</v>
      </c>
      <c r="E28">
        <v>28</v>
      </c>
      <c r="G28" t="str">
        <f>parameter_metadata_original!G36</f>
        <v>Public</v>
      </c>
      <c r="H28" t="str">
        <f>parameter_metadata_original!H36</f>
        <v>Static</v>
      </c>
      <c r="I28">
        <f>parameter_metadata_original!I36</f>
        <v>0.22</v>
      </c>
      <c r="J28" s="1">
        <f>parameter_metadata_original!J36</f>
        <v>0.22</v>
      </c>
      <c r="K28" t="str">
        <f>parameter_metadata_original!K36</f>
        <v>{"Handle weight" : {"value":{"@value":"", "@type":"xsd:float", "unitCode":"KGM"}}}</v>
      </c>
    </row>
    <row r="29" spans="1:11" ht="16" x14ac:dyDescent="0.2">
      <c r="A29" t="str">
        <f>parameter_metadata_original!A37</f>
        <v>5. Material and composition</v>
      </c>
      <c r="B29" t="str">
        <f>parameter_metadata_original!B37</f>
        <v>x</v>
      </c>
      <c r="C29" t="str">
        <f>parameter_metadata_original!C37</f>
        <v>Components</v>
      </c>
      <c r="D29" t="str">
        <f>parameter_metadata_original!D37</f>
        <v>Coating weight</v>
      </c>
      <c r="E29">
        <v>29</v>
      </c>
      <c r="G29" t="str">
        <f>parameter_metadata_original!G37</f>
        <v>Public</v>
      </c>
      <c r="H29" t="str">
        <f>parameter_metadata_original!H37</f>
        <v>Static</v>
      </c>
      <c r="I29" t="str">
        <f>parameter_metadata_original!I37</f>
        <v>&lt; 0.010</v>
      </c>
      <c r="J29" s="1" t="str">
        <f>parameter_metadata_original!J37</f>
        <v>&lt; 0.011</v>
      </c>
      <c r="K29" t="str">
        <f>parameter_metadata_original!K37</f>
        <v>{"Coating weight" : {"value":{"@value":"", "@type":"xsd:string", "unitCode":"KGM"}}}</v>
      </c>
    </row>
    <row r="30" spans="1:11" ht="16" x14ac:dyDescent="0.2">
      <c r="A30" t="str">
        <f>parameter_metadata_original!A16</f>
        <v>6. Circularity and resource efficiency</v>
      </c>
      <c r="B30" t="str">
        <f>parameter_metadata_original!B16</f>
        <v>x</v>
      </c>
      <c r="C30" t="str">
        <f>parameter_metadata_original!C16</f>
        <v>Recycled content</v>
      </c>
      <c r="D30" t="str">
        <f>parameter_metadata_original!D16</f>
        <v>Recycled content</v>
      </c>
      <c r="E30">
        <v>30</v>
      </c>
      <c r="G30" t="str">
        <f>parameter_metadata_original!G16</f>
        <v>Public</v>
      </c>
      <c r="H30" t="str">
        <f>parameter_metadata_original!H16</f>
        <v>Static</v>
      </c>
      <c r="I30" t="str">
        <f>parameter_metadata_original!I16</f>
        <v>Aluminium</v>
      </c>
      <c r="J30" s="1" t="str">
        <f>parameter_metadata_original!J16</f>
        <v>Aluminium</v>
      </c>
      <c r="K30" t="str">
        <f>parameter_metadata_original!K16</f>
        <v>{"Recycled content" : { "value": {"@value":"", "@type":"xsd:string"}}}</v>
      </c>
    </row>
    <row r="31" spans="1:11" x14ac:dyDescent="0.2">
      <c r="A31" t="str">
        <f>parameter_metadata_original!A17</f>
        <v>6. Circularity and resource efficiency</v>
      </c>
      <c r="B31" t="str">
        <f>parameter_metadata_original!B17</f>
        <v>x</v>
      </c>
      <c r="C31" t="str">
        <f>parameter_metadata_original!C17</f>
        <v>Recycled content</v>
      </c>
      <c r="D31" t="str">
        <f>parameter_metadata_original!D17</f>
        <v>Recycled content weight</v>
      </c>
      <c r="E31">
        <v>31</v>
      </c>
      <c r="G31" t="str">
        <f>parameter_metadata_original!G17</f>
        <v>Public</v>
      </c>
      <c r="H31" t="str">
        <f>parameter_metadata_original!H17</f>
        <v>Static</v>
      </c>
      <c r="I31">
        <f>parameter_metadata_original!I17</f>
        <v>1.2</v>
      </c>
      <c r="J31" s="1">
        <f>parameter_metadata_original!J17</f>
        <v>1.2</v>
      </c>
      <c r="K31" t="str">
        <f>parameter_metadata_original!K17</f>
        <v>{"Recycled content weight" : {"value":{"@value":"", "@type":"xsd:float", "unitCode":"KGM"}}}</v>
      </c>
    </row>
    <row r="32" spans="1:11" x14ac:dyDescent="0.2">
      <c r="A32" t="str">
        <f>parameter_metadata_original!A18</f>
        <v>6. Circularity and resource efficiency</v>
      </c>
      <c r="B32" t="str">
        <f>parameter_metadata_original!B18</f>
        <v>x</v>
      </c>
      <c r="C32" t="str">
        <f>parameter_metadata_original!C18</f>
        <v>Recycled content</v>
      </c>
      <c r="D32" t="str">
        <f>parameter_metadata_original!D18</f>
        <v>Recycled content [share - wt%]</v>
      </c>
      <c r="E32">
        <v>32</v>
      </c>
      <c r="G32" t="str">
        <f>parameter_metadata_original!G18</f>
        <v>Public</v>
      </c>
      <c r="H32" t="str">
        <f>parameter_metadata_original!H18</f>
        <v>Static</v>
      </c>
      <c r="I32">
        <f>parameter_metadata_original!I18</f>
        <v>70.2</v>
      </c>
      <c r="J32" s="1">
        <f>parameter_metadata_original!J18</f>
        <v>70.2</v>
      </c>
      <c r="K32" t="str">
        <f>parameter_metadata_original!K18</f>
        <v>{"Recycled content [share - wt%]" : {"value":{"@value":"", "@type":"xsd:float",  "unitCode":"P1"}}}</v>
      </c>
    </row>
    <row r="33" spans="1:11" x14ac:dyDescent="0.2">
      <c r="A33" t="str">
        <f>parameter_metadata_original!A20</f>
        <v>6. Circularity and resource efficiency</v>
      </c>
      <c r="B33" t="str">
        <f>parameter_metadata_original!B20</f>
        <v>x</v>
      </c>
      <c r="C33" t="str">
        <f>parameter_metadata_original!C20</f>
        <v>Circularity and resource efficiency</v>
      </c>
      <c r="D33" t="str">
        <f>parameter_metadata_original!D20</f>
        <v>Renewable content share</v>
      </c>
      <c r="E33">
        <v>33</v>
      </c>
      <c r="G33" t="str">
        <f>parameter_metadata_original!G20</f>
        <v>Public</v>
      </c>
      <c r="H33" t="str">
        <f>parameter_metadata_original!H20</f>
        <v>Static</v>
      </c>
      <c r="I33">
        <f>parameter_metadata_original!I20</f>
        <v>0</v>
      </c>
      <c r="J33" s="1">
        <v>0</v>
      </c>
      <c r="K33" t="str">
        <f>parameter_metadata_original!K20</f>
        <v>{"Renewable content share"  : {"value":{"@value":"", "@type":"xsd:float",  "unitCode":"P1"}}}</v>
      </c>
    </row>
    <row r="34" spans="1:11" ht="16" x14ac:dyDescent="0.2">
      <c r="A34" t="str">
        <f>parameter_metadata_original!A21</f>
        <v>6. Circularity and resource efficiency</v>
      </c>
      <c r="B34" t="str">
        <f>parameter_metadata_original!B21</f>
        <v>x</v>
      </c>
      <c r="C34" t="str">
        <f>parameter_metadata_original!C21</f>
        <v>Circularity and resource efficiency</v>
      </c>
      <c r="D34" t="str">
        <f>parameter_metadata_original!D21</f>
        <v>Information on sources of spare parts</v>
      </c>
      <c r="E34">
        <v>34</v>
      </c>
      <c r="G34" t="str">
        <f>parameter_metadata_original!G21</f>
        <v>Public</v>
      </c>
      <c r="H34" t="str">
        <f>parameter_metadata_original!H21</f>
        <v>Static</v>
      </c>
      <c r="I34" t="str">
        <f>parameter_metadata_original!I21</f>
        <v>ONEPan AB, Bögatan 1, SE-412 72 Göteborg, Sweden</v>
      </c>
      <c r="J34" s="1" t="str">
        <f>parameter_metadata_original!J21</f>
        <v>File</v>
      </c>
      <c r="K34" t="str">
        <f>parameter_metadata_original!K21</f>
        <v>{"Information on sources of spare parts" : {"@type":"gs1:purchaseSuppliesOrAccessories", "value":{"@value":"", "@type":"xsd:anyURI"}}}</v>
      </c>
    </row>
    <row r="35" spans="1:11" ht="16" x14ac:dyDescent="0.2">
      <c r="A35" t="str">
        <f>parameter_metadata_original!A24</f>
        <v>6. Circularity and resource efficiency</v>
      </c>
      <c r="B35" t="str">
        <f>parameter_metadata_original!B24</f>
        <v>x</v>
      </c>
      <c r="C35" t="str">
        <f>parameter_metadata_original!C24</f>
        <v>Durability</v>
      </c>
      <c r="D35" t="str">
        <f>parameter_metadata_original!D24</f>
        <v>Warranty period</v>
      </c>
      <c r="E35">
        <v>35</v>
      </c>
      <c r="G35" t="str">
        <f>parameter_metadata_original!G24</f>
        <v>Public</v>
      </c>
      <c r="H35" t="str">
        <f>parameter_metadata_original!H24</f>
        <v>Static</v>
      </c>
      <c r="I35" t="str">
        <f>parameter_metadata_original!I24</f>
        <v>Lifelong warranty through OnePans circular system</v>
      </c>
      <c r="J35" s="1" t="str">
        <f>parameter_metadata_original!J24</f>
        <v>Lifelong warranty through OnePans circular system</v>
      </c>
      <c r="K35" t="str">
        <f>parameter_metadata_original!K24</f>
        <v>{"Warranty period" : {"value":{"@value":"", "@type":"xsd:string"}}}</v>
      </c>
    </row>
    <row r="36" spans="1:11" ht="16" x14ac:dyDescent="0.2">
      <c r="A36" t="str">
        <f>parameter_metadata_original!A25</f>
        <v>6. Circularity and resource efficiency</v>
      </c>
      <c r="B36" t="str">
        <f>parameter_metadata_original!B25</f>
        <v>x</v>
      </c>
      <c r="C36" t="str">
        <f>parameter_metadata_original!C25</f>
        <v>Durability</v>
      </c>
      <c r="D36" t="str">
        <f>parameter_metadata_original!D25</f>
        <v>Circular system Re-Coat</v>
      </c>
      <c r="E36">
        <v>36</v>
      </c>
      <c r="G36" t="str">
        <f>parameter_metadata_original!G25</f>
        <v>Public</v>
      </c>
      <c r="H36" t="str">
        <f>parameter_metadata_original!H25</f>
        <v>Static</v>
      </c>
      <c r="I36" t="str">
        <f>parameter_metadata_original!I25</f>
        <v>Through the OnePan circular system Re-Coat, OnePan can be recoated when the current coating wears out. Free of charge and forever.</v>
      </c>
      <c r="J36" s="1" t="str">
        <f>parameter_metadata_original!J25</f>
        <v>Through the OnePan circular system Re-Coat, OnePan can be recoated when the current coating wears out. Free of charge and forever.</v>
      </c>
      <c r="K36" t="str">
        <f>parameter_metadata_original!K25</f>
        <v>{"Circular system Re-Coat" : {"value":{"@value":"", "@type":"xsd:string"}}}</v>
      </c>
    </row>
    <row r="37" spans="1:11" ht="48" x14ac:dyDescent="0.2">
      <c r="A37" t="str">
        <f>parameter_metadata_original!A38</f>
        <v>6. Circularity and resource efficiency</v>
      </c>
      <c r="B37" t="str">
        <f>parameter_metadata_original!B38</f>
        <v>x</v>
      </c>
      <c r="C37" t="str">
        <f>parameter_metadata_original!C38</f>
        <v>Reusability</v>
      </c>
      <c r="D37" t="str">
        <f>parameter_metadata_original!D38</f>
        <v>Recoating</v>
      </c>
      <c r="E37">
        <v>37</v>
      </c>
      <c r="G37" t="str">
        <f>parameter_metadata_original!G38</f>
        <v>Public</v>
      </c>
      <c r="H37" t="str">
        <f>parameter_metadata_original!H38</f>
        <v>Static</v>
      </c>
      <c r="I37" t="str">
        <f>parameter_metadata_original!I38</f>
        <v>Through the recoating process a used OnePan can be returned to an as-good-as-new-level. This process makes it possible to reuse a OnePan again and again and extend its life significantly. Instead of having to buy a new pan when the coating no longer function as intended. Also, the recoating process makes it possible to have a pan coating upgraded if a new formula is released.</v>
      </c>
      <c r="J37" s="1" t="str">
        <f>parameter_metadata_original!J38</f>
        <v>Through the recoating process a used OnePan can be returned to an as-good-as-new-level. This process makes it possible to reuse a OnePan again and again and extend its life significantly. Instead of having to buy a new pan when the coating no longer function as intended. Also, the recoating process makes it possible to have a pan coating upgraded if a new formula is released.</v>
      </c>
      <c r="K37" t="str">
        <f>parameter_metadata_original!K38</f>
        <v>{"Recoating" : {"value":{"@value":"", "@type":"xsd:string"}}}</v>
      </c>
    </row>
    <row r="38" spans="1:11" ht="16" x14ac:dyDescent="0.2">
      <c r="A38" t="str">
        <f>parameter_metadata_original!A39</f>
        <v>6. Circularity and resource efficiency</v>
      </c>
      <c r="B38" t="str">
        <f>parameter_metadata_original!B39</f>
        <v>x</v>
      </c>
      <c r="C38" t="str">
        <f>parameter_metadata_original!C39</f>
        <v>Repairability</v>
      </c>
      <c r="D38" t="str">
        <f>parameter_metadata_original!D39</f>
        <v>Part numbers for spare parts</v>
      </c>
      <c r="E38">
        <v>38</v>
      </c>
      <c r="G38" t="str">
        <f>parameter_metadata_original!G39</f>
        <v>Public</v>
      </c>
      <c r="H38" t="str">
        <f>parameter_metadata_original!H39</f>
        <v>Static</v>
      </c>
      <c r="I38" t="str">
        <f>parameter_metadata_original!I39</f>
        <v>In case the handle should break (very unlikely though) it can be easily replaced.</v>
      </c>
      <c r="J38" s="1" t="str">
        <f>parameter_metadata_original!J39</f>
        <v>In case the handle should break (very unlikely though) it can be easily replaced.</v>
      </c>
      <c r="K38" t="str">
        <f>parameter_metadata_original!K39</f>
        <v>{"Part numbers for spare parts" : {"value":{"@value":"", "@type":"xsd:string"}}}</v>
      </c>
    </row>
    <row r="39" spans="1:11" ht="32" x14ac:dyDescent="0.2">
      <c r="A39" t="str">
        <f>parameter_metadata_original!A40</f>
        <v>6. Circularity and resource efficiency</v>
      </c>
      <c r="B39" t="str">
        <f>parameter_metadata_original!B40</f>
        <v>x</v>
      </c>
      <c r="C39" t="str">
        <f>parameter_metadata_original!C40</f>
        <v>Maintenance and refurbishment</v>
      </c>
      <c r="D39" t="str">
        <f>parameter_metadata_original!D40</f>
        <v>Maintenance guidelines</v>
      </c>
      <c r="E39">
        <v>39</v>
      </c>
      <c r="G39" t="str">
        <f>parameter_metadata_original!G40</f>
        <v>Public</v>
      </c>
      <c r="H39" t="str">
        <f>parameter_metadata_original!H40</f>
        <v>Static</v>
      </c>
      <c r="I39" t="str">
        <f>parameter_metadata_original!I40</f>
        <v>Hur du tar hand om din OnePan – OnePan.se</v>
      </c>
      <c r="J39" s="1" t="str">
        <f>parameter_metadata_original!J40</f>
        <v>https://onepan.se/pages/hur-du-tar-hand-om-din-onepan?_gl=1*1a84e5*_up*MQ..*_gs*MQ..&amp;gclid=EAIaIQobChMI6OPf8vezjAMVqWaRBR2K3SryEAAYASAAEgKRpPD_BwE</v>
      </c>
      <c r="K39" t="str">
        <f>parameter_metadata_original!K40</f>
        <v>{"Maintenance guidelines" : {"@type":"gs1:pip", "value":{"@value":"", "@type":"xsd:anyURI"}}}</v>
      </c>
    </row>
    <row r="40" spans="1:11" ht="32" x14ac:dyDescent="0.2">
      <c r="A40" t="str">
        <f>parameter_metadata_original!A41</f>
        <v>6. Circularity and resource efficiency</v>
      </c>
      <c r="B40" t="str">
        <f>parameter_metadata_original!B41</f>
        <v>x</v>
      </c>
      <c r="C40" t="str">
        <f>parameter_metadata_original!C41</f>
        <v>Recyclability</v>
      </c>
      <c r="D40" t="str">
        <f>parameter_metadata_original!D41</f>
        <v>Dismantling information: Manuals for the removal and the disassembly of the product</v>
      </c>
      <c r="E40">
        <v>40</v>
      </c>
      <c r="G40" t="str">
        <f>parameter_metadata_original!G41</f>
        <v>Public</v>
      </c>
      <c r="H40" t="str">
        <f>parameter_metadata_original!H41</f>
        <v>Static</v>
      </c>
      <c r="I40" t="str">
        <f>parameter_metadata_original!I41</f>
        <v>The handle is attached to the pan body with a screw and can be easily removed. The body and bottom plate can be separated and recycled via the circular system and OnePan AB suppliers.</v>
      </c>
      <c r="J40" s="1" t="str">
        <f>parameter_metadata_original!J41</f>
        <v>The handle is attached to the pan body with a screw and can be easily removed. The body and bottom plate can be separated and recycled via the circular system and OnePan AB suppliers.</v>
      </c>
      <c r="K40" t="str">
        <f>parameter_metadata_original!K41</f>
        <v>{"Dismantling information: Manuals for the removal and the disassembly of the product" : {"value":{"@value":"", "@type":"xsd:string"}}}</v>
      </c>
    </row>
    <row r="41" spans="1:11" ht="48" x14ac:dyDescent="0.2">
      <c r="A41" t="str">
        <f>parameter_metadata_original!A42</f>
        <v>6. Circularity and resource efficiency</v>
      </c>
      <c r="B41" t="str">
        <f>parameter_metadata_original!B42</f>
        <v>x</v>
      </c>
      <c r="C41" t="str">
        <f>parameter_metadata_original!C42</f>
        <v>Recyclability</v>
      </c>
      <c r="D41" t="str">
        <f>parameter_metadata_original!D42</f>
        <v>Recycling pathways</v>
      </c>
      <c r="E41">
        <v>41</v>
      </c>
      <c r="G41" t="str">
        <f>parameter_metadata_original!G42</f>
        <v>Public</v>
      </c>
      <c r="H41" t="str">
        <f>parameter_metadata_original!H42</f>
        <v>Static</v>
      </c>
      <c r="I41" t="str">
        <f>parameter_metadata_original!I42</f>
        <v>Pans that are sent to OnePan AB via the circular system are dismantled and recycled when they are no longer fit for a new recoating process. The handle is removed and sent to recycling. The body and bottom plate are sent to the manufacturer where the body is melted in an aluminium melt and separated from the bottom plate. The bottom plate is sent to an external actor for recycling.</v>
      </c>
      <c r="J41" s="1" t="str">
        <f>parameter_metadata_original!J42</f>
        <v>Pans that are sent to OnePan AB via the circular system are dismantled and recycled when they are no longer fit for a new recoating process. The handle is removed and sent to recycling. The body and bottom plate are sent to the manufacturer where the body is melted in an aluminium melt and separated from the bottom plate. The bottom plate is sent to an external actor for recycling.</v>
      </c>
      <c r="K41" t="str">
        <f>parameter_metadata_original!K42</f>
        <v>{"Recycling pathways" : {"value":{"@value":"", "@type":"xsd:string"}}}</v>
      </c>
    </row>
    <row r="42" spans="1:11" x14ac:dyDescent="0.2">
      <c r="A42" t="str">
        <f>parameter_metadata_original!A10</f>
        <v>9. Product Updates</v>
      </c>
      <c r="B42" t="str">
        <f>parameter_metadata_original!B10</f>
        <v>x</v>
      </c>
      <c r="C42" t="str">
        <f>parameter_metadata_original!C10</f>
        <v>9. Product Updates</v>
      </c>
      <c r="D42" t="str">
        <f>parameter_metadata_original!D10</f>
        <v>Update ID</v>
      </c>
      <c r="E42">
        <v>43</v>
      </c>
      <c r="G42" t="str">
        <f>parameter_metadata_original!G10</f>
        <v>Private</v>
      </c>
      <c r="H42" t="str">
        <f>parameter_metadata_original!H10</f>
        <v>Dynamic</v>
      </c>
      <c r="I42">
        <f>parameter_metadata_original!I10</f>
        <v>1.1000000000000001</v>
      </c>
      <c r="J42" s="1">
        <f>parameter_metadata_original!J10</f>
        <v>1.1000000000000001</v>
      </c>
      <c r="K42" t="str">
        <f>parameter_metadata_original!K10</f>
        <v>{"Update ID" : { "value": {"@value":"", "@type":"xsd:string"}}}</v>
      </c>
    </row>
    <row r="43" spans="1:11" x14ac:dyDescent="0.2">
      <c r="A43" t="str">
        <f>parameter_metadata_original!A11</f>
        <v>9. Product Updates</v>
      </c>
      <c r="B43" t="str">
        <f>parameter_metadata_original!B11</f>
        <v>x</v>
      </c>
      <c r="C43" t="str">
        <f>parameter_metadata_original!C11</f>
        <v>9. Product Updates</v>
      </c>
      <c r="D43" t="str">
        <f>parameter_metadata_original!D11</f>
        <v>DPP Update Timestamp</v>
      </c>
      <c r="E43">
        <v>44</v>
      </c>
      <c r="G43" t="str">
        <f>parameter_metadata_original!G11</f>
        <v>Private</v>
      </c>
      <c r="H43" t="str">
        <f>parameter_metadata_original!H11</f>
        <v>Dynamic</v>
      </c>
      <c r="I43">
        <f>parameter_metadata_original!I11</f>
        <v>0</v>
      </c>
      <c r="K43" t="str">
        <f>parameter_metadata_original!K11</f>
        <v>{"DPP Update Timestamp" : {"@type":"schema:startTime", "value":{"@type":"schema:DateTime", "value": {"@value":"", "@type":"xsd:dateTime"}}}}</v>
      </c>
    </row>
    <row r="44" spans="1:11" x14ac:dyDescent="0.2">
      <c r="A44" t="str">
        <f>parameter_metadata_original!A12</f>
        <v>9. Product Updates</v>
      </c>
      <c r="B44" t="str">
        <f>parameter_metadata_original!B12</f>
        <v>x</v>
      </c>
      <c r="C44" t="str">
        <f>parameter_metadata_original!C12</f>
        <v>9. Product Updates</v>
      </c>
      <c r="D44" t="str">
        <f>parameter_metadata_original!D12</f>
        <v>DPP Update Reason</v>
      </c>
      <c r="E44">
        <v>45</v>
      </c>
      <c r="G44" t="str">
        <f>parameter_metadata_original!G12</f>
        <v>Private</v>
      </c>
      <c r="H44" t="str">
        <f>parameter_metadata_original!H12</f>
        <v>Dynamic</v>
      </c>
      <c r="I44">
        <f>parameter_metadata_original!I12</f>
        <v>0</v>
      </c>
      <c r="K44" t="str">
        <f>parameter_metadata_original!K12</f>
        <v>{"DPP Update Reason" :  {"@type":"schema:description", "value":{"@type":"schema:Text", "value": {"@value":"", "@type":"xsd:string"}}}}</v>
      </c>
    </row>
    <row r="45" spans="1:11" x14ac:dyDescent="0.2">
      <c r="A45" t="str">
        <f>parameter_metadata_original!A13</f>
        <v>9. Product Updates</v>
      </c>
      <c r="B45" t="str">
        <f>parameter_metadata_original!B13</f>
        <v>x</v>
      </c>
      <c r="C45" t="str">
        <f>parameter_metadata_original!C13</f>
        <v>9. Product Updates</v>
      </c>
      <c r="D45" t="str">
        <f>parameter_metadata_original!D13</f>
        <v>DPP Update Responsible</v>
      </c>
      <c r="E45">
        <v>46</v>
      </c>
      <c r="G45" t="str">
        <f>parameter_metadata_original!G13</f>
        <v>Private</v>
      </c>
      <c r="H45" t="str">
        <f>parameter_metadata_original!H13</f>
        <v>Dynamic</v>
      </c>
      <c r="I45" t="str">
        <f>parameter_metadata_original!I13</f>
        <v>ONEPan</v>
      </c>
      <c r="J45" t="str">
        <f>parameter_metadata_original!J13</f>
        <v>ONEPan</v>
      </c>
      <c r="K45" t="str">
        <f>parameter_metadata_original!K13</f>
        <v>{"DPP Update Responsible" :  {"@type":"schema:Organization", "value":{"@type":"schema:legalName", "value": {"@value":"", "@type":"xsd:string"}}}}</v>
      </c>
    </row>
    <row r="46" spans="1:11" x14ac:dyDescent="0.2">
      <c r="A46" t="str">
        <f>parameter_metadata_original!A53</f>
        <v>9. Product Updates</v>
      </c>
      <c r="B46" t="str">
        <f>parameter_metadata_original!B53</f>
        <v>x</v>
      </c>
      <c r="C46" t="str">
        <f>parameter_metadata_original!C53</f>
        <v>9. Product Updates</v>
      </c>
      <c r="D46" t="str">
        <f>parameter_metadata_original!D53</f>
        <v>Actual weight</v>
      </c>
      <c r="E46">
        <v>47</v>
      </c>
      <c r="G46" t="str">
        <f>parameter_metadata_original!G53</f>
        <v>Private</v>
      </c>
      <c r="H46" t="str">
        <f>parameter_metadata_original!H53</f>
        <v>Dynamic</v>
      </c>
      <c r="I46">
        <f>parameter_metadata_original!I53</f>
        <v>0</v>
      </c>
      <c r="K46" t="str">
        <f>parameter_metadata_original!K53</f>
        <v>{"Actual weight" : {"value":{"@value":"", "@type":"xsd:float", "unitCode":"KGM"}}}</v>
      </c>
    </row>
    <row r="47" spans="1:11" x14ac:dyDescent="0.2">
      <c r="A47" t="str">
        <f>parameter_metadata_original!A47</f>
        <v>9. Product Updates</v>
      </c>
      <c r="B47" t="str">
        <f>parameter_metadata_original!B47</f>
        <v>x</v>
      </c>
      <c r="C47" t="str">
        <f>parameter_metadata_original!C47</f>
        <v>9. Product Updates</v>
      </c>
      <c r="D47" t="str">
        <f>parameter_metadata_original!D47</f>
        <v>CO2 footprint n cycles of recoating</v>
      </c>
      <c r="E47">
        <v>48</v>
      </c>
      <c r="G47" t="str">
        <f>parameter_metadata_original!G47</f>
        <v>Private</v>
      </c>
      <c r="H47" t="str">
        <f>parameter_metadata_original!H47</f>
        <v>Dynamic</v>
      </c>
      <c r="I47">
        <f>parameter_metadata_original!I47</f>
        <v>0</v>
      </c>
      <c r="K47" t="str">
        <f>parameter_metadata_original!K47</f>
        <v>{"CO2 footprint n cycles of recoating" : {"value":{"@value":"", "@type":"xsd:float"}}}</v>
      </c>
    </row>
    <row r="48" spans="1:11" x14ac:dyDescent="0.2">
      <c r="A48" t="str">
        <f>parameter_metadata_original!A48</f>
        <v>9. Product Updates</v>
      </c>
      <c r="B48" t="str">
        <f>parameter_metadata_original!B48</f>
        <v>x</v>
      </c>
      <c r="C48" t="str">
        <f>parameter_metadata_original!C48</f>
        <v>9. Product Updates</v>
      </c>
      <c r="D48" t="str">
        <f>parameter_metadata_original!D48</f>
        <v>Number of recoating/circulations</v>
      </c>
      <c r="E48">
        <v>49</v>
      </c>
      <c r="G48" t="str">
        <f>parameter_metadata_original!G48</f>
        <v>Private</v>
      </c>
      <c r="H48" t="str">
        <f>parameter_metadata_original!H48</f>
        <v>Dynamic</v>
      </c>
      <c r="I48">
        <f>parameter_metadata_original!I48</f>
        <v>0</v>
      </c>
      <c r="K48" t="str">
        <f>parameter_metadata_original!K48</f>
        <v>{"Number of recoating/circulations" : {"value":{"@value":"", "@type":"xsd:int"}}}</v>
      </c>
    </row>
    <row r="49" spans="1:11" x14ac:dyDescent="0.2">
      <c r="A49" t="str">
        <f>parameter_metadata_original!A49</f>
        <v>9. Product Updates</v>
      </c>
      <c r="B49" t="str">
        <f>parameter_metadata_original!B49</f>
        <v>x</v>
      </c>
      <c r="C49" t="str">
        <f>parameter_metadata_original!C49</f>
        <v>9. Product Updates</v>
      </c>
      <c r="D49" t="str">
        <f>parameter_metadata_original!D49</f>
        <v>CO2 saving after n cycles of recoating</v>
      </c>
      <c r="E49">
        <v>50</v>
      </c>
      <c r="G49" t="str">
        <f>parameter_metadata_original!G49</f>
        <v>Private</v>
      </c>
      <c r="H49" t="str">
        <f>parameter_metadata_original!H49</f>
        <v>Dynamic</v>
      </c>
      <c r="I49">
        <f>parameter_metadata_original!I49</f>
        <v>0</v>
      </c>
      <c r="K49" t="str">
        <f>parameter_metadata_original!K49</f>
        <v>{"CO2 saving after n cycles of recoating" : {"value":{"@value":"", "@type":"xsd:float", "unitCode":"KGM"}}}</v>
      </c>
    </row>
    <row r="50" spans="1:11" x14ac:dyDescent="0.2">
      <c r="A50" t="str">
        <f>parameter_metadata_original!A50</f>
        <v>9. Product Updates</v>
      </c>
      <c r="B50" t="str">
        <f>parameter_metadata_original!B50</f>
        <v>x</v>
      </c>
      <c r="C50" t="str">
        <f>parameter_metadata_original!C50</f>
        <v>9. Product Updates</v>
      </c>
      <c r="D50" t="str">
        <f>parameter_metadata_original!D50</f>
        <v>Geography (location of owner/user)</v>
      </c>
      <c r="E50">
        <v>51</v>
      </c>
      <c r="G50" t="str">
        <f>parameter_metadata_original!G50</f>
        <v>Private</v>
      </c>
      <c r="H50" t="str">
        <f>parameter_metadata_original!H50</f>
        <v>Dynamic</v>
      </c>
      <c r="I50">
        <f>parameter_metadata_original!I50</f>
        <v>0</v>
      </c>
      <c r="K50" t="str">
        <f>parameter_metadata_original!K50</f>
        <v>{"Geography (location of owner/user)" : {"value":{"@value":"", "@type":"xsd:string"}}}</v>
      </c>
    </row>
    <row r="51" spans="1:11" x14ac:dyDescent="0.2">
      <c r="A51" t="str">
        <f>parameter_metadata_original!A55</f>
        <v>9. Product Updates</v>
      </c>
      <c r="B51" t="str">
        <f>parameter_metadata_original!B55</f>
        <v>x</v>
      </c>
      <c r="C51" t="str">
        <f>parameter_metadata_original!C55</f>
        <v>9. Product Updates</v>
      </c>
      <c r="D51" t="str">
        <f>parameter_metadata_original!D55</f>
        <v>Historic</v>
      </c>
      <c r="E51">
        <f>parameter_metadata_original!E55</f>
        <v>91</v>
      </c>
      <c r="G51" t="str">
        <f>parameter_metadata_original!G55</f>
        <v>private</v>
      </c>
      <c r="H51" t="str">
        <f>parameter_metadata_original!H55</f>
        <v>Dynamic</v>
      </c>
      <c r="I51">
        <f>parameter_metadata_original!I55</f>
        <v>0</v>
      </c>
      <c r="J51">
        <f>parameter_metadata_original!J55</f>
        <v>0</v>
      </c>
      <c r="K51" t="str">
        <f>parameter_metadata_original!K55</f>
        <v>{"Historic" : {"value":{"@value":"", "@type":"xsd:boolean"}}}</v>
      </c>
    </row>
  </sheetData>
  <autoFilter ref="A1:K50" xr:uid="{91110A29-C29E-1746-BC3B-9F1F909FD312}">
    <sortState xmlns:xlrd2="http://schemas.microsoft.com/office/spreadsheetml/2017/richdata2" ref="A2:K50">
      <sortCondition ref="E1:E50"/>
    </sortState>
  </autoFilter>
  <sortState xmlns:xlrd2="http://schemas.microsoft.com/office/spreadsheetml/2017/richdata2" ref="A2:K50">
    <sortCondition ref="A1:A5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C0B02-ECEE-4619-B189-865702C2E471}">
  <dimension ref="A1:M113"/>
  <sheetViews>
    <sheetView topLeftCell="B1" zoomScale="125" zoomScaleNormal="100" workbookViewId="0">
      <selection activeCell="F13" sqref="F13"/>
    </sheetView>
  </sheetViews>
  <sheetFormatPr baseColWidth="10" defaultColWidth="8.83203125" defaultRowHeight="15" x14ac:dyDescent="0.2"/>
  <cols>
    <col min="1" max="1" width="45.5" bestFit="1" customWidth="1"/>
    <col min="2" max="2" width="45.5" customWidth="1"/>
    <col min="3" max="3" width="14.6640625" customWidth="1"/>
    <col min="4" max="4" width="45" style="2" bestFit="1" customWidth="1"/>
    <col min="5" max="5" width="20.33203125" bestFit="1" customWidth="1"/>
    <col min="6" max="6" width="15.83203125" bestFit="1" customWidth="1"/>
    <col min="7" max="7" width="8.5" style="2" bestFit="1" customWidth="1"/>
    <col min="8" max="8" width="8.5" bestFit="1" customWidth="1"/>
    <col min="9" max="9" width="28.5" style="2" bestFit="1" customWidth="1"/>
    <col min="10" max="10" width="20.6640625" style="2" customWidth="1"/>
    <col min="11" max="11" width="81.6640625" style="1" customWidth="1"/>
    <col min="12" max="12" width="14.5" customWidth="1"/>
    <col min="13" max="13" width="19.33203125" bestFit="1" customWidth="1"/>
  </cols>
  <sheetData>
    <row r="1" spans="1:13" ht="16" x14ac:dyDescent="0.2">
      <c r="A1" t="s">
        <v>0</v>
      </c>
      <c r="B1" t="s">
        <v>51</v>
      </c>
      <c r="C1" t="s">
        <v>11</v>
      </c>
      <c r="D1" s="2" t="s">
        <v>1</v>
      </c>
      <c r="E1" t="s">
        <v>14</v>
      </c>
      <c r="F1" t="s">
        <v>10</v>
      </c>
      <c r="G1" s="2" t="s">
        <v>12</v>
      </c>
      <c r="H1" t="s">
        <v>2</v>
      </c>
      <c r="I1" s="2" t="s">
        <v>48</v>
      </c>
      <c r="J1" s="2" t="s">
        <v>46</v>
      </c>
      <c r="K1" s="1" t="s">
        <v>15</v>
      </c>
      <c r="L1" s="27" t="s">
        <v>151</v>
      </c>
      <c r="M1" s="27" t="s">
        <v>152</v>
      </c>
    </row>
    <row r="2" spans="1:13" ht="16" x14ac:dyDescent="0.2">
      <c r="A2" t="s">
        <v>33</v>
      </c>
      <c r="B2" t="s">
        <v>52</v>
      </c>
      <c r="C2" t="s">
        <v>189</v>
      </c>
      <c r="D2" t="s">
        <v>3</v>
      </c>
      <c r="G2" t="s">
        <v>57</v>
      </c>
      <c r="H2" s="14" t="s">
        <v>38</v>
      </c>
      <c r="I2"/>
      <c r="K2" s="1" t="s">
        <v>30</v>
      </c>
      <c r="L2" t="s">
        <v>153</v>
      </c>
    </row>
    <row r="3" spans="1:13" ht="16" x14ac:dyDescent="0.2">
      <c r="A3" t="s">
        <v>33</v>
      </c>
      <c r="B3" t="s">
        <v>52</v>
      </c>
      <c r="C3" t="s">
        <v>189</v>
      </c>
      <c r="D3" t="s">
        <v>53</v>
      </c>
      <c r="G3" t="s">
        <v>57</v>
      </c>
      <c r="H3" s="14" t="s">
        <v>38</v>
      </c>
      <c r="I3"/>
      <c r="K3" s="1" t="s">
        <v>29</v>
      </c>
      <c r="L3" t="s">
        <v>154</v>
      </c>
    </row>
    <row r="4" spans="1:13" ht="16" x14ac:dyDescent="0.2">
      <c r="A4" t="s">
        <v>33</v>
      </c>
      <c r="C4" t="s">
        <v>189</v>
      </c>
      <c r="D4" t="s">
        <v>75</v>
      </c>
      <c r="G4" t="s">
        <v>57</v>
      </c>
      <c r="H4" s="14" t="s">
        <v>38</v>
      </c>
      <c r="I4" t="s">
        <v>127</v>
      </c>
      <c r="J4" t="s">
        <v>127</v>
      </c>
      <c r="K4" s="1" t="s">
        <v>130</v>
      </c>
      <c r="L4" t="s">
        <v>154</v>
      </c>
    </row>
    <row r="5" spans="1:13" ht="32" x14ac:dyDescent="0.2">
      <c r="A5" t="s">
        <v>33</v>
      </c>
      <c r="B5" t="s">
        <v>52</v>
      </c>
      <c r="C5" t="s">
        <v>189</v>
      </c>
      <c r="D5" t="s">
        <v>4</v>
      </c>
      <c r="G5" t="s">
        <v>57</v>
      </c>
      <c r="H5" s="14" t="s">
        <v>38</v>
      </c>
      <c r="I5"/>
      <c r="K5" s="1" t="s">
        <v>40</v>
      </c>
      <c r="L5" t="s">
        <v>153</v>
      </c>
      <c r="M5" t="s">
        <v>155</v>
      </c>
    </row>
    <row r="6" spans="1:13" ht="16" x14ac:dyDescent="0.2">
      <c r="A6" t="s">
        <v>33</v>
      </c>
      <c r="B6" t="s">
        <v>52</v>
      </c>
      <c r="C6" t="s">
        <v>189</v>
      </c>
      <c r="D6" t="s">
        <v>36</v>
      </c>
      <c r="G6" t="s">
        <v>57</v>
      </c>
      <c r="H6" s="14" t="s">
        <v>38</v>
      </c>
      <c r="I6" t="s">
        <v>113</v>
      </c>
      <c r="J6" t="s">
        <v>113</v>
      </c>
      <c r="K6" s="1" t="s">
        <v>41</v>
      </c>
      <c r="L6" t="s">
        <v>154</v>
      </c>
    </row>
    <row r="7" spans="1:13" ht="48" x14ac:dyDescent="0.2">
      <c r="A7" t="s">
        <v>33</v>
      </c>
      <c r="B7" t="s">
        <v>52</v>
      </c>
      <c r="C7" t="s">
        <v>189</v>
      </c>
      <c r="D7" t="s">
        <v>27</v>
      </c>
      <c r="F7" t="s">
        <v>28</v>
      </c>
      <c r="G7" t="s">
        <v>57</v>
      </c>
      <c r="H7" s="14" t="s">
        <v>38</v>
      </c>
      <c r="I7" t="s">
        <v>192</v>
      </c>
      <c r="J7" t="s">
        <v>192</v>
      </c>
      <c r="K7" s="1" t="s">
        <v>42</v>
      </c>
      <c r="L7" t="s">
        <v>154</v>
      </c>
    </row>
    <row r="8" spans="1:13" ht="16" x14ac:dyDescent="0.2">
      <c r="A8" t="s">
        <v>33</v>
      </c>
      <c r="B8" t="s">
        <v>52</v>
      </c>
      <c r="C8" t="s">
        <v>189</v>
      </c>
      <c r="D8" t="s">
        <v>5</v>
      </c>
      <c r="G8" t="s">
        <v>57</v>
      </c>
      <c r="H8" s="14" t="s">
        <v>38</v>
      </c>
      <c r="I8" t="s">
        <v>128</v>
      </c>
      <c r="J8" t="s">
        <v>128</v>
      </c>
      <c r="K8" s="1" t="s">
        <v>49</v>
      </c>
      <c r="L8" t="s">
        <v>154</v>
      </c>
    </row>
    <row r="9" spans="1:13" ht="16" x14ac:dyDescent="0.2">
      <c r="A9" t="s">
        <v>33</v>
      </c>
      <c r="B9" t="s">
        <v>52</v>
      </c>
      <c r="C9" t="s">
        <v>189</v>
      </c>
      <c r="D9" t="s">
        <v>7</v>
      </c>
      <c r="G9" t="s">
        <v>57</v>
      </c>
      <c r="H9" s="14" t="s">
        <v>38</v>
      </c>
      <c r="I9" t="s">
        <v>129</v>
      </c>
      <c r="J9" t="s">
        <v>129</v>
      </c>
      <c r="K9" s="1" t="s">
        <v>43</v>
      </c>
      <c r="L9" t="s">
        <v>154</v>
      </c>
    </row>
    <row r="10" spans="1:13" ht="16" x14ac:dyDescent="0.2">
      <c r="A10" t="s">
        <v>59</v>
      </c>
      <c r="B10" t="s">
        <v>52</v>
      </c>
      <c r="C10" t="s">
        <v>59</v>
      </c>
      <c r="D10" t="s">
        <v>63</v>
      </c>
      <c r="G10" t="s">
        <v>110</v>
      </c>
      <c r="H10" s="14" t="s">
        <v>39</v>
      </c>
      <c r="I10">
        <v>1.1000000000000001</v>
      </c>
      <c r="J10" s="2">
        <v>1.1000000000000001</v>
      </c>
      <c r="K10" s="1" t="s">
        <v>64</v>
      </c>
    </row>
    <row r="11" spans="1:13" ht="32" x14ac:dyDescent="0.2">
      <c r="A11" t="s">
        <v>59</v>
      </c>
      <c r="B11" t="s">
        <v>52</v>
      </c>
      <c r="C11" t="s">
        <v>59</v>
      </c>
      <c r="D11" t="s">
        <v>8</v>
      </c>
      <c r="G11" t="s">
        <v>110</v>
      </c>
      <c r="H11" s="14" t="s">
        <v>39</v>
      </c>
      <c r="I11"/>
      <c r="K11" s="1" t="s">
        <v>47</v>
      </c>
      <c r="L11" t="s">
        <v>153</v>
      </c>
    </row>
    <row r="12" spans="1:13" ht="32" x14ac:dyDescent="0.2">
      <c r="A12" t="s">
        <v>59</v>
      </c>
      <c r="B12" t="s">
        <v>52</v>
      </c>
      <c r="C12" t="s">
        <v>59</v>
      </c>
      <c r="D12" t="s">
        <v>9</v>
      </c>
      <c r="G12" t="s">
        <v>110</v>
      </c>
      <c r="H12" s="14" t="s">
        <v>39</v>
      </c>
      <c r="I12"/>
      <c r="K12" s="1" t="s">
        <v>44</v>
      </c>
      <c r="L12" t="s">
        <v>154</v>
      </c>
    </row>
    <row r="13" spans="1:13" ht="32" x14ac:dyDescent="0.2">
      <c r="A13" t="s">
        <v>59</v>
      </c>
      <c r="B13" t="s">
        <v>52</v>
      </c>
      <c r="C13" t="s">
        <v>59</v>
      </c>
      <c r="D13" s="2" t="s">
        <v>56</v>
      </c>
      <c r="G13" t="s">
        <v>110</v>
      </c>
      <c r="H13" s="14" t="s">
        <v>39</v>
      </c>
      <c r="I13" s="24" t="s">
        <v>196</v>
      </c>
      <c r="J13" s="24" t="s">
        <v>196</v>
      </c>
      <c r="K13" s="28" t="s">
        <v>58</v>
      </c>
    </row>
    <row r="14" spans="1:13" ht="16" x14ac:dyDescent="0.2">
      <c r="A14" t="s">
        <v>33</v>
      </c>
      <c r="B14" t="s">
        <v>52</v>
      </c>
      <c r="C14" t="s">
        <v>67</v>
      </c>
      <c r="D14" s="2" t="s">
        <v>6</v>
      </c>
      <c r="G14" s="17" t="s">
        <v>57</v>
      </c>
      <c r="H14" s="14" t="s">
        <v>38</v>
      </c>
      <c r="I14" s="24">
        <v>1.7</v>
      </c>
      <c r="J14" s="24">
        <v>2.7</v>
      </c>
      <c r="K14" s="1" t="s">
        <v>54</v>
      </c>
      <c r="L14" s="17" t="s">
        <v>156</v>
      </c>
      <c r="M14" s="17" t="s">
        <v>157</v>
      </c>
    </row>
    <row r="15" spans="1:13" ht="16" x14ac:dyDescent="0.2">
      <c r="A15" t="s">
        <v>33</v>
      </c>
      <c r="B15" t="s">
        <v>52</v>
      </c>
      <c r="C15" t="s">
        <v>67</v>
      </c>
      <c r="D15" s="2" t="s">
        <v>37</v>
      </c>
      <c r="G15" t="s">
        <v>57</v>
      </c>
      <c r="H15" s="14" t="s">
        <v>38</v>
      </c>
      <c r="I15" t="s">
        <v>111</v>
      </c>
      <c r="J15" t="s">
        <v>111</v>
      </c>
      <c r="K15" s="1" t="s">
        <v>173</v>
      </c>
      <c r="L15" t="s">
        <v>154</v>
      </c>
    </row>
    <row r="16" spans="1:13" ht="16" x14ac:dyDescent="0.2">
      <c r="A16" t="s">
        <v>35</v>
      </c>
      <c r="B16" t="s">
        <v>52</v>
      </c>
      <c r="C16" t="s">
        <v>68</v>
      </c>
      <c r="D16" s="2" t="s">
        <v>68</v>
      </c>
      <c r="G16" t="s">
        <v>57</v>
      </c>
      <c r="H16" s="14" t="s">
        <v>38</v>
      </c>
      <c r="I16" t="s">
        <v>112</v>
      </c>
      <c r="J16" t="s">
        <v>112</v>
      </c>
      <c r="K16" s="1" t="s">
        <v>131</v>
      </c>
      <c r="L16" t="s">
        <v>154</v>
      </c>
    </row>
    <row r="17" spans="1:13" ht="16" x14ac:dyDescent="0.2">
      <c r="A17" t="s">
        <v>35</v>
      </c>
      <c r="B17" t="s">
        <v>52</v>
      </c>
      <c r="C17" t="s">
        <v>68</v>
      </c>
      <c r="D17" s="17" t="s">
        <v>76</v>
      </c>
      <c r="G17" s="17" t="s">
        <v>57</v>
      </c>
      <c r="H17" s="14" t="s">
        <v>38</v>
      </c>
      <c r="I17" s="24">
        <v>1.2</v>
      </c>
      <c r="J17" s="24">
        <v>1.2</v>
      </c>
      <c r="K17" s="1" t="s">
        <v>132</v>
      </c>
      <c r="L17" s="17" t="s">
        <v>156</v>
      </c>
      <c r="M17" s="2" t="s">
        <v>157</v>
      </c>
    </row>
    <row r="18" spans="1:13" ht="16" x14ac:dyDescent="0.2">
      <c r="A18" t="s">
        <v>35</v>
      </c>
      <c r="B18" t="s">
        <v>52</v>
      </c>
      <c r="C18" t="s">
        <v>68</v>
      </c>
      <c r="D18" s="17" t="s">
        <v>77</v>
      </c>
      <c r="G18" s="17" t="s">
        <v>57</v>
      </c>
      <c r="H18" s="14" t="s">
        <v>38</v>
      </c>
      <c r="I18">
        <v>70.2</v>
      </c>
      <c r="J18">
        <v>70.2</v>
      </c>
      <c r="K18" s="1" t="s">
        <v>133</v>
      </c>
      <c r="L18" s="17" t="s">
        <v>156</v>
      </c>
      <c r="M18" s="2" t="s">
        <v>158</v>
      </c>
    </row>
    <row r="19" spans="1:13" ht="16" x14ac:dyDescent="0.2">
      <c r="A19" t="s">
        <v>66</v>
      </c>
      <c r="B19" t="s">
        <v>52</v>
      </c>
      <c r="C19" t="s">
        <v>190</v>
      </c>
      <c r="D19" s="12" t="s">
        <v>55</v>
      </c>
      <c r="G19" s="17" t="s">
        <v>57</v>
      </c>
      <c r="H19" s="14" t="s">
        <v>38</v>
      </c>
      <c r="I19" t="s">
        <v>50</v>
      </c>
      <c r="J19" t="s">
        <v>50</v>
      </c>
      <c r="K19" s="1" t="s">
        <v>65</v>
      </c>
      <c r="L19" t="s">
        <v>154</v>
      </c>
    </row>
    <row r="20" spans="1:13" ht="16" x14ac:dyDescent="0.2">
      <c r="A20" t="s">
        <v>35</v>
      </c>
      <c r="B20" t="s">
        <v>52</v>
      </c>
      <c r="C20" t="s">
        <v>191</v>
      </c>
      <c r="D20" s="12" t="s">
        <v>78</v>
      </c>
      <c r="G20" s="17" t="s">
        <v>57</v>
      </c>
      <c r="H20" s="14" t="s">
        <v>38</v>
      </c>
      <c r="I20">
        <v>0</v>
      </c>
      <c r="J20" s="2">
        <v>0</v>
      </c>
      <c r="K20" s="1" t="s">
        <v>174</v>
      </c>
      <c r="L20" t="s">
        <v>156</v>
      </c>
      <c r="M20" t="s">
        <v>158</v>
      </c>
    </row>
    <row r="21" spans="1:13" ht="32" x14ac:dyDescent="0.2">
      <c r="A21" t="s">
        <v>35</v>
      </c>
      <c r="B21" t="s">
        <v>52</v>
      </c>
      <c r="C21" t="s">
        <v>191</v>
      </c>
      <c r="D21" s="12" t="s">
        <v>79</v>
      </c>
      <c r="G21" s="17" t="s">
        <v>57</v>
      </c>
      <c r="H21" s="14" t="s">
        <v>38</v>
      </c>
      <c r="I21" t="s">
        <v>113</v>
      </c>
      <c r="J21" s="2" t="s">
        <v>45</v>
      </c>
      <c r="K21" s="1" t="s">
        <v>134</v>
      </c>
      <c r="L21" t="s">
        <v>45</v>
      </c>
    </row>
    <row r="22" spans="1:13" ht="16" x14ac:dyDescent="0.2">
      <c r="A22" t="s">
        <v>33</v>
      </c>
      <c r="B22" t="s">
        <v>52</v>
      </c>
      <c r="C22" t="s">
        <v>189</v>
      </c>
      <c r="D22" t="s">
        <v>80</v>
      </c>
      <c r="G22" s="22" t="s">
        <v>57</v>
      </c>
      <c r="H22" s="14" t="s">
        <v>38</v>
      </c>
      <c r="I22"/>
      <c r="K22" s="1" t="s">
        <v>135</v>
      </c>
      <c r="L22" t="s">
        <v>153</v>
      </c>
    </row>
    <row r="23" spans="1:13" ht="16" x14ac:dyDescent="0.2">
      <c r="A23" t="s">
        <v>33</v>
      </c>
      <c r="B23" t="s">
        <v>52</v>
      </c>
      <c r="C23" t="s">
        <v>189</v>
      </c>
      <c r="D23" s="18" t="s">
        <v>81</v>
      </c>
      <c r="G23" s="22" t="s">
        <v>57</v>
      </c>
      <c r="H23" s="14" t="s">
        <v>38</v>
      </c>
      <c r="I23" s="25">
        <v>45541</v>
      </c>
      <c r="J23" s="25">
        <v>45541</v>
      </c>
      <c r="K23" s="1" t="s">
        <v>136</v>
      </c>
      <c r="L23" t="s">
        <v>153</v>
      </c>
      <c r="M23" t="s">
        <v>159</v>
      </c>
    </row>
    <row r="24" spans="1:13" ht="16" x14ac:dyDescent="0.2">
      <c r="A24" t="s">
        <v>35</v>
      </c>
      <c r="B24" t="s">
        <v>52</v>
      </c>
      <c r="C24" t="s">
        <v>69</v>
      </c>
      <c r="D24" s="18" t="s">
        <v>82</v>
      </c>
      <c r="G24" s="22" t="s">
        <v>57</v>
      </c>
      <c r="H24" s="14" t="s">
        <v>38</v>
      </c>
      <c r="I24" s="25" t="s">
        <v>193</v>
      </c>
      <c r="J24" s="25" t="s">
        <v>193</v>
      </c>
      <c r="K24" s="1" t="s">
        <v>137</v>
      </c>
      <c r="L24" t="s">
        <v>154</v>
      </c>
    </row>
    <row r="25" spans="1:13" ht="16" x14ac:dyDescent="0.2">
      <c r="A25" t="s">
        <v>35</v>
      </c>
      <c r="B25" t="s">
        <v>52</v>
      </c>
      <c r="C25" t="s">
        <v>69</v>
      </c>
      <c r="D25" s="18" t="s">
        <v>83</v>
      </c>
      <c r="G25" s="22" t="s">
        <v>57</v>
      </c>
      <c r="H25" s="14" t="s">
        <v>38</v>
      </c>
      <c r="I25" s="25" t="s">
        <v>114</v>
      </c>
      <c r="J25" s="25" t="s">
        <v>114</v>
      </c>
      <c r="K25" s="1" t="s">
        <v>138</v>
      </c>
      <c r="L25" t="s">
        <v>154</v>
      </c>
    </row>
    <row r="26" spans="1:13" ht="16" x14ac:dyDescent="0.2">
      <c r="A26" t="s">
        <v>33</v>
      </c>
      <c r="B26" t="s">
        <v>52</v>
      </c>
      <c r="C26" t="s">
        <v>67</v>
      </c>
      <c r="D26" s="18" t="s">
        <v>84</v>
      </c>
      <c r="G26" s="22" t="s">
        <v>57</v>
      </c>
      <c r="H26" s="14" t="s">
        <v>38</v>
      </c>
      <c r="I26" s="25" t="s">
        <v>115</v>
      </c>
      <c r="J26" s="25" t="s">
        <v>115</v>
      </c>
      <c r="K26" s="1" t="s">
        <v>139</v>
      </c>
      <c r="L26" t="s">
        <v>154</v>
      </c>
    </row>
    <row r="27" spans="1:13" ht="16" x14ac:dyDescent="0.2">
      <c r="A27" t="s">
        <v>33</v>
      </c>
      <c r="B27" t="s">
        <v>52</v>
      </c>
      <c r="C27" t="s">
        <v>67</v>
      </c>
      <c r="D27" s="18" t="s">
        <v>85</v>
      </c>
      <c r="G27" s="22" t="s">
        <v>57</v>
      </c>
      <c r="H27" s="14" t="s">
        <v>38</v>
      </c>
      <c r="I27" s="25" t="s">
        <v>116</v>
      </c>
      <c r="J27" s="25" t="s">
        <v>116</v>
      </c>
      <c r="K27" s="1" t="s">
        <v>140</v>
      </c>
      <c r="L27" t="s">
        <v>154</v>
      </c>
    </row>
    <row r="28" spans="1:13" ht="16" x14ac:dyDescent="0.2">
      <c r="A28" t="s">
        <v>66</v>
      </c>
      <c r="B28" t="s">
        <v>52</v>
      </c>
      <c r="C28" t="s">
        <v>70</v>
      </c>
      <c r="D28" t="s">
        <v>86</v>
      </c>
      <c r="G28" s="22" t="s">
        <v>57</v>
      </c>
      <c r="H28" s="14" t="s">
        <v>38</v>
      </c>
      <c r="I28" s="2">
        <v>3</v>
      </c>
      <c r="J28" s="2">
        <v>4</v>
      </c>
      <c r="K28" s="1" t="s">
        <v>141</v>
      </c>
      <c r="L28" t="s">
        <v>156</v>
      </c>
    </row>
    <row r="29" spans="1:13" ht="16" x14ac:dyDescent="0.2">
      <c r="A29" t="s">
        <v>66</v>
      </c>
      <c r="B29" t="s">
        <v>52</v>
      </c>
      <c r="C29" t="s">
        <v>70</v>
      </c>
      <c r="D29" s="18" t="s">
        <v>70</v>
      </c>
      <c r="G29" s="22" t="s">
        <v>57</v>
      </c>
      <c r="H29" s="14" t="s">
        <v>38</v>
      </c>
      <c r="I29" t="s">
        <v>117</v>
      </c>
      <c r="J29" t="s">
        <v>117</v>
      </c>
      <c r="K29" s="1" t="s">
        <v>142</v>
      </c>
      <c r="L29" t="s">
        <v>154</v>
      </c>
    </row>
    <row r="30" spans="1:13" ht="16" x14ac:dyDescent="0.2">
      <c r="A30" t="s">
        <v>66</v>
      </c>
      <c r="B30" t="s">
        <v>52</v>
      </c>
      <c r="C30" t="s">
        <v>70</v>
      </c>
      <c r="D30" s="18" t="s">
        <v>87</v>
      </c>
      <c r="G30" s="22" t="s">
        <v>57</v>
      </c>
      <c r="H30" s="14" t="s">
        <v>38</v>
      </c>
      <c r="I30" t="s">
        <v>118</v>
      </c>
      <c r="J30" t="s">
        <v>118</v>
      </c>
      <c r="K30" s="1" t="s">
        <v>143</v>
      </c>
      <c r="L30" t="s">
        <v>154</v>
      </c>
    </row>
    <row r="31" spans="1:13" ht="16" x14ac:dyDescent="0.2">
      <c r="A31" t="s">
        <v>66</v>
      </c>
      <c r="B31" t="s">
        <v>52</v>
      </c>
      <c r="C31" t="s">
        <v>70</v>
      </c>
      <c r="D31" s="18" t="s">
        <v>88</v>
      </c>
      <c r="G31" s="22" t="s">
        <v>57</v>
      </c>
      <c r="H31" s="14" t="s">
        <v>38</v>
      </c>
      <c r="I31" t="s">
        <v>119</v>
      </c>
      <c r="J31" t="s">
        <v>119</v>
      </c>
      <c r="K31" s="1" t="s">
        <v>144</v>
      </c>
      <c r="L31" t="s">
        <v>154</v>
      </c>
    </row>
    <row r="32" spans="1:13" ht="16" x14ac:dyDescent="0.2">
      <c r="A32" t="s">
        <v>66</v>
      </c>
      <c r="B32" t="s">
        <v>52</v>
      </c>
      <c r="C32" t="s">
        <v>70</v>
      </c>
      <c r="D32" s="18" t="s">
        <v>89</v>
      </c>
      <c r="G32" s="22" t="s">
        <v>57</v>
      </c>
      <c r="H32" s="14" t="s">
        <v>38</v>
      </c>
      <c r="I32" t="s">
        <v>120</v>
      </c>
      <c r="J32" t="s">
        <v>120</v>
      </c>
      <c r="K32" s="1" t="s">
        <v>145</v>
      </c>
      <c r="L32" t="s">
        <v>154</v>
      </c>
    </row>
    <row r="33" spans="1:13" ht="16" x14ac:dyDescent="0.2">
      <c r="A33" t="s">
        <v>66</v>
      </c>
      <c r="B33" t="s">
        <v>52</v>
      </c>
      <c r="C33" t="s">
        <v>70</v>
      </c>
      <c r="D33" s="18" t="s">
        <v>90</v>
      </c>
      <c r="G33" s="22" t="s">
        <v>57</v>
      </c>
      <c r="H33" s="14" t="s">
        <v>38</v>
      </c>
      <c r="I33" t="s">
        <v>121</v>
      </c>
      <c r="J33" t="s">
        <v>121</v>
      </c>
      <c r="K33" s="1" t="s">
        <v>146</v>
      </c>
      <c r="L33" t="s">
        <v>154</v>
      </c>
    </row>
    <row r="34" spans="1:13" ht="16" x14ac:dyDescent="0.2">
      <c r="A34" t="s">
        <v>66</v>
      </c>
      <c r="B34" t="s">
        <v>52</v>
      </c>
      <c r="C34" t="s">
        <v>70</v>
      </c>
      <c r="D34" s="18" t="s">
        <v>91</v>
      </c>
      <c r="G34" s="22" t="s">
        <v>57</v>
      </c>
      <c r="H34" s="14" t="s">
        <v>38</v>
      </c>
      <c r="I34">
        <v>0.28000000000000003</v>
      </c>
      <c r="J34">
        <v>0.28000000000000003</v>
      </c>
      <c r="K34" s="1" t="s">
        <v>147</v>
      </c>
      <c r="L34" t="s">
        <v>156</v>
      </c>
      <c r="M34" t="s">
        <v>157</v>
      </c>
    </row>
    <row r="35" spans="1:13" ht="16" x14ac:dyDescent="0.2">
      <c r="A35" t="s">
        <v>66</v>
      </c>
      <c r="B35" t="s">
        <v>52</v>
      </c>
      <c r="C35" t="s">
        <v>70</v>
      </c>
      <c r="D35" s="18" t="s">
        <v>92</v>
      </c>
      <c r="G35" s="22" t="s">
        <v>57</v>
      </c>
      <c r="H35" s="14" t="s">
        <v>38</v>
      </c>
      <c r="I35" s="24">
        <v>1.2</v>
      </c>
      <c r="J35" s="24">
        <v>1.2</v>
      </c>
      <c r="K35" s="1" t="s">
        <v>148</v>
      </c>
      <c r="L35" t="s">
        <v>156</v>
      </c>
      <c r="M35" t="s">
        <v>157</v>
      </c>
    </row>
    <row r="36" spans="1:13" ht="16" x14ac:dyDescent="0.2">
      <c r="A36" t="s">
        <v>66</v>
      </c>
      <c r="B36" t="s">
        <v>52</v>
      </c>
      <c r="C36" t="s">
        <v>70</v>
      </c>
      <c r="D36" s="18" t="s">
        <v>93</v>
      </c>
      <c r="G36" s="22" t="s">
        <v>57</v>
      </c>
      <c r="H36" s="14" t="s">
        <v>38</v>
      </c>
      <c r="I36">
        <v>0.22</v>
      </c>
      <c r="J36">
        <v>0.22</v>
      </c>
      <c r="K36" s="1" t="s">
        <v>149</v>
      </c>
      <c r="L36" t="s">
        <v>156</v>
      </c>
      <c r="M36" t="s">
        <v>157</v>
      </c>
    </row>
    <row r="37" spans="1:13" ht="16" x14ac:dyDescent="0.2">
      <c r="A37" t="s">
        <v>66</v>
      </c>
      <c r="B37" t="s">
        <v>52</v>
      </c>
      <c r="C37" t="s">
        <v>70</v>
      </c>
      <c r="D37" s="18" t="s">
        <v>94</v>
      </c>
      <c r="G37" s="22" t="s">
        <v>57</v>
      </c>
      <c r="H37" s="14" t="s">
        <v>38</v>
      </c>
      <c r="I37" t="s">
        <v>122</v>
      </c>
      <c r="J37" t="s">
        <v>186</v>
      </c>
      <c r="K37" s="1" t="s">
        <v>150</v>
      </c>
      <c r="L37" t="s">
        <v>154</v>
      </c>
      <c r="M37" t="s">
        <v>157</v>
      </c>
    </row>
    <row r="38" spans="1:13" ht="16" x14ac:dyDescent="0.2">
      <c r="A38" t="s">
        <v>35</v>
      </c>
      <c r="B38" t="s">
        <v>52</v>
      </c>
      <c r="C38" t="s">
        <v>71</v>
      </c>
      <c r="D38" s="18" t="s">
        <v>95</v>
      </c>
      <c r="G38" s="22" t="s">
        <v>57</v>
      </c>
      <c r="H38" s="14" t="s">
        <v>38</v>
      </c>
      <c r="I38" t="s">
        <v>194</v>
      </c>
      <c r="J38" t="s">
        <v>194</v>
      </c>
      <c r="K38" s="1" t="s">
        <v>164</v>
      </c>
      <c r="L38" t="s">
        <v>154</v>
      </c>
    </row>
    <row r="39" spans="1:13" ht="16" x14ac:dyDescent="0.2">
      <c r="A39" t="s">
        <v>35</v>
      </c>
      <c r="B39" t="s">
        <v>52</v>
      </c>
      <c r="C39" t="s">
        <v>72</v>
      </c>
      <c r="D39" s="19" t="s">
        <v>96</v>
      </c>
      <c r="G39" s="22" t="s">
        <v>57</v>
      </c>
      <c r="H39" s="14" t="s">
        <v>38</v>
      </c>
      <c r="I39" t="s">
        <v>123</v>
      </c>
      <c r="J39" t="s">
        <v>123</v>
      </c>
      <c r="K39" s="1" t="s">
        <v>165</v>
      </c>
      <c r="L39" t="s">
        <v>154</v>
      </c>
    </row>
    <row r="40" spans="1:13" ht="16" x14ac:dyDescent="0.2">
      <c r="A40" t="s">
        <v>35</v>
      </c>
      <c r="B40" t="s">
        <v>52</v>
      </c>
      <c r="C40" t="s">
        <v>73</v>
      </c>
      <c r="D40" s="18" t="s">
        <v>97</v>
      </c>
      <c r="G40" s="22" t="s">
        <v>57</v>
      </c>
      <c r="H40" s="14" t="s">
        <v>38</v>
      </c>
      <c r="I40" s="26" t="s">
        <v>124</v>
      </c>
      <c r="J40" s="26" t="s">
        <v>175</v>
      </c>
      <c r="K40" s="1" t="s">
        <v>166</v>
      </c>
      <c r="L40" t="s">
        <v>160</v>
      </c>
    </row>
    <row r="41" spans="1:13" ht="32" x14ac:dyDescent="0.2">
      <c r="A41" t="s">
        <v>35</v>
      </c>
      <c r="B41" t="s">
        <v>52</v>
      </c>
      <c r="C41" t="s">
        <v>74</v>
      </c>
      <c r="D41" s="18" t="s">
        <v>168</v>
      </c>
      <c r="G41" s="22" t="s">
        <v>57</v>
      </c>
      <c r="H41" s="14" t="s">
        <v>38</v>
      </c>
      <c r="I41" t="s">
        <v>195</v>
      </c>
      <c r="J41" t="s">
        <v>195</v>
      </c>
      <c r="K41" s="1" t="s">
        <v>167</v>
      </c>
      <c r="L41" t="s">
        <v>154</v>
      </c>
    </row>
    <row r="42" spans="1:13" ht="16" x14ac:dyDescent="0.2">
      <c r="A42" t="s">
        <v>35</v>
      </c>
      <c r="B42" t="s">
        <v>52</v>
      </c>
      <c r="C42" t="s">
        <v>74</v>
      </c>
      <c r="D42" s="18" t="s">
        <v>98</v>
      </c>
      <c r="G42" s="22" t="s">
        <v>57</v>
      </c>
      <c r="H42" s="14" t="s">
        <v>38</v>
      </c>
      <c r="I42" s="25" t="s">
        <v>125</v>
      </c>
      <c r="J42" s="25" t="s">
        <v>125</v>
      </c>
      <c r="K42" s="1" t="s">
        <v>176</v>
      </c>
      <c r="L42" t="s">
        <v>154</v>
      </c>
    </row>
    <row r="43" spans="1:13" ht="16" x14ac:dyDescent="0.2">
      <c r="A43" t="s">
        <v>35</v>
      </c>
      <c r="B43" t="s">
        <v>52</v>
      </c>
      <c r="C43" t="s">
        <v>74</v>
      </c>
      <c r="D43" s="19" t="s">
        <v>169</v>
      </c>
      <c r="G43" s="22" t="s">
        <v>57</v>
      </c>
      <c r="H43" s="21" t="s">
        <v>38</v>
      </c>
      <c r="I43">
        <v>99.5</v>
      </c>
      <c r="J43">
        <v>99.5</v>
      </c>
      <c r="K43" s="1" t="s">
        <v>177</v>
      </c>
      <c r="L43" s="12" t="s">
        <v>156</v>
      </c>
      <c r="M43" t="s">
        <v>158</v>
      </c>
    </row>
    <row r="44" spans="1:13" ht="16" x14ac:dyDescent="0.2">
      <c r="A44" t="s">
        <v>35</v>
      </c>
      <c r="C44" t="s">
        <v>74</v>
      </c>
      <c r="D44" t="s">
        <v>99</v>
      </c>
      <c r="G44" s="22" t="s">
        <v>57</v>
      </c>
      <c r="H44" s="14" t="s">
        <v>38</v>
      </c>
      <c r="I44">
        <v>99.5</v>
      </c>
      <c r="J44">
        <v>99.5</v>
      </c>
      <c r="K44" s="1" t="s">
        <v>178</v>
      </c>
      <c r="L44" t="s">
        <v>156</v>
      </c>
      <c r="M44" t="s">
        <v>158</v>
      </c>
    </row>
    <row r="45" spans="1:13" ht="32" x14ac:dyDescent="0.2">
      <c r="A45" t="s">
        <v>34</v>
      </c>
      <c r="B45" t="s">
        <v>52</v>
      </c>
      <c r="C45" t="s">
        <v>188</v>
      </c>
      <c r="D45" s="18" t="s">
        <v>100</v>
      </c>
      <c r="G45" s="22" t="s">
        <v>57</v>
      </c>
      <c r="H45" s="14" t="s">
        <v>38</v>
      </c>
      <c r="I45">
        <v>27</v>
      </c>
      <c r="J45">
        <v>27</v>
      </c>
      <c r="K45" s="1" t="s">
        <v>179</v>
      </c>
      <c r="L45" t="s">
        <v>161</v>
      </c>
      <c r="M45" t="s">
        <v>162</v>
      </c>
    </row>
    <row r="46" spans="1:13" ht="32" x14ac:dyDescent="0.2">
      <c r="A46" t="s">
        <v>34</v>
      </c>
      <c r="B46" t="s">
        <v>52</v>
      </c>
      <c r="C46" t="s">
        <v>188</v>
      </c>
      <c r="D46" s="18" t="s">
        <v>101</v>
      </c>
      <c r="G46" s="22" t="s">
        <v>57</v>
      </c>
      <c r="H46" s="14" t="s">
        <v>38</v>
      </c>
      <c r="I46">
        <v>1.3440000000000001</v>
      </c>
      <c r="J46">
        <v>1.3440000000000001</v>
      </c>
      <c r="K46" s="1" t="s">
        <v>180</v>
      </c>
      <c r="L46" t="s">
        <v>161</v>
      </c>
      <c r="M46" t="s">
        <v>162</v>
      </c>
    </row>
    <row r="47" spans="1:13" ht="16" x14ac:dyDescent="0.2">
      <c r="A47" t="s">
        <v>59</v>
      </c>
      <c r="B47" t="s">
        <v>52</v>
      </c>
      <c r="C47" t="s">
        <v>59</v>
      </c>
      <c r="D47" s="20" t="s">
        <v>102</v>
      </c>
      <c r="G47" s="23" t="s">
        <v>110</v>
      </c>
      <c r="H47" s="14" t="s">
        <v>39</v>
      </c>
      <c r="I47"/>
      <c r="K47" s="1" t="s">
        <v>181</v>
      </c>
      <c r="L47" t="s">
        <v>156</v>
      </c>
    </row>
    <row r="48" spans="1:13" ht="16" x14ac:dyDescent="0.2">
      <c r="A48" t="s">
        <v>59</v>
      </c>
      <c r="B48" t="s">
        <v>52</v>
      </c>
      <c r="C48" t="s">
        <v>59</v>
      </c>
      <c r="D48" s="18" t="s">
        <v>103</v>
      </c>
      <c r="G48" s="23" t="s">
        <v>110</v>
      </c>
      <c r="H48" s="14" t="s">
        <v>39</v>
      </c>
      <c r="I48"/>
      <c r="K48" s="1" t="s">
        <v>182</v>
      </c>
      <c r="L48" t="s">
        <v>156</v>
      </c>
      <c r="M48" t="s">
        <v>163</v>
      </c>
    </row>
    <row r="49" spans="1:13" ht="16" x14ac:dyDescent="0.2">
      <c r="A49" t="s">
        <v>59</v>
      </c>
      <c r="B49" t="s">
        <v>52</v>
      </c>
      <c r="C49" t="s">
        <v>59</v>
      </c>
      <c r="D49" s="20" t="s">
        <v>104</v>
      </c>
      <c r="G49" s="23" t="s">
        <v>110</v>
      </c>
      <c r="H49" s="14" t="s">
        <v>39</v>
      </c>
      <c r="I49"/>
      <c r="K49" s="1" t="s">
        <v>183</v>
      </c>
      <c r="L49" t="s">
        <v>156</v>
      </c>
      <c r="M49" t="s">
        <v>157</v>
      </c>
    </row>
    <row r="50" spans="1:13" ht="16" x14ac:dyDescent="0.2">
      <c r="A50" t="s">
        <v>59</v>
      </c>
      <c r="B50" t="s">
        <v>52</v>
      </c>
      <c r="C50" t="s">
        <v>59</v>
      </c>
      <c r="D50" s="18" t="s">
        <v>105</v>
      </c>
      <c r="G50" s="23" t="s">
        <v>110</v>
      </c>
      <c r="H50" s="14" t="s">
        <v>39</v>
      </c>
      <c r="I50"/>
      <c r="K50" s="1" t="s">
        <v>170</v>
      </c>
      <c r="L50" t="s">
        <v>154</v>
      </c>
    </row>
    <row r="51" spans="1:13" ht="16" x14ac:dyDescent="0.2">
      <c r="A51" t="s">
        <v>34</v>
      </c>
      <c r="B51" t="s">
        <v>52</v>
      </c>
      <c r="C51" t="s">
        <v>188</v>
      </c>
      <c r="D51" s="18" t="s">
        <v>106</v>
      </c>
      <c r="G51" s="22" t="s">
        <v>57</v>
      </c>
      <c r="H51" s="14" t="s">
        <v>38</v>
      </c>
      <c r="I51"/>
      <c r="K51" s="1" t="s">
        <v>184</v>
      </c>
      <c r="M51" t="s">
        <v>162</v>
      </c>
    </row>
    <row r="52" spans="1:13" ht="16" x14ac:dyDescent="0.2">
      <c r="A52" t="s">
        <v>34</v>
      </c>
      <c r="B52" t="s">
        <v>52</v>
      </c>
      <c r="C52" t="s">
        <v>188</v>
      </c>
      <c r="D52" s="19" t="s">
        <v>107</v>
      </c>
      <c r="G52" s="23" t="s">
        <v>110</v>
      </c>
      <c r="H52" s="14" t="s">
        <v>38</v>
      </c>
      <c r="I52"/>
      <c r="K52" s="1" t="s">
        <v>185</v>
      </c>
      <c r="L52" t="s">
        <v>154</v>
      </c>
      <c r="M52" t="s">
        <v>157</v>
      </c>
    </row>
    <row r="53" spans="1:13" ht="16" x14ac:dyDescent="0.2">
      <c r="A53" t="s">
        <v>59</v>
      </c>
      <c r="B53" s="12" t="s">
        <v>52</v>
      </c>
      <c r="C53" t="s">
        <v>59</v>
      </c>
      <c r="D53" s="19" t="s">
        <v>108</v>
      </c>
      <c r="G53" s="23" t="s">
        <v>110</v>
      </c>
      <c r="H53" s="14" t="s">
        <v>39</v>
      </c>
      <c r="I53"/>
      <c r="K53" s="1" t="s">
        <v>172</v>
      </c>
      <c r="L53" t="s">
        <v>156</v>
      </c>
      <c r="M53" t="s">
        <v>157</v>
      </c>
    </row>
    <row r="54" spans="1:13" ht="16" x14ac:dyDescent="0.2">
      <c r="A54" t="s">
        <v>34</v>
      </c>
      <c r="B54" t="s">
        <v>52</v>
      </c>
      <c r="C54" t="s">
        <v>188</v>
      </c>
      <c r="D54" s="18" t="s">
        <v>109</v>
      </c>
      <c r="G54" s="23" t="s">
        <v>110</v>
      </c>
      <c r="H54" s="14" t="s">
        <v>38</v>
      </c>
      <c r="I54" t="s">
        <v>126</v>
      </c>
      <c r="J54" t="s">
        <v>126</v>
      </c>
      <c r="K54" s="1" t="s">
        <v>171</v>
      </c>
      <c r="L54" t="s">
        <v>154</v>
      </c>
    </row>
    <row r="55" spans="1:13" x14ac:dyDescent="0.2">
      <c r="A55" t="s">
        <v>59</v>
      </c>
      <c r="B55" s="11" t="s">
        <v>52</v>
      </c>
      <c r="C55" t="s">
        <v>59</v>
      </c>
      <c r="D55" s="2" t="s">
        <v>61</v>
      </c>
      <c r="E55">
        <v>91</v>
      </c>
      <c r="G55" s="2" t="s">
        <v>13</v>
      </c>
      <c r="H55" s="4" t="s">
        <v>39</v>
      </c>
      <c r="I55" s="2">
        <v>0</v>
      </c>
      <c r="J55" s="2">
        <v>0</v>
      </c>
      <c r="K55" t="s">
        <v>62</v>
      </c>
    </row>
    <row r="56" spans="1:13" x14ac:dyDescent="0.2">
      <c r="B56" s="13"/>
      <c r="C56" s="14"/>
      <c r="D56" s="16"/>
      <c r="H56" s="4"/>
      <c r="I56" s="5"/>
      <c r="J56" s="5"/>
    </row>
    <row r="57" spans="1:13" x14ac:dyDescent="0.2">
      <c r="B57" s="13"/>
      <c r="C57" s="14"/>
      <c r="D57" s="16"/>
      <c r="H57" s="4"/>
      <c r="I57" s="5"/>
      <c r="J57" s="5"/>
    </row>
    <row r="58" spans="1:13" x14ac:dyDescent="0.2">
      <c r="B58" s="13"/>
      <c r="C58" s="14"/>
      <c r="D58" s="16"/>
      <c r="H58" s="4"/>
      <c r="I58" s="5"/>
      <c r="J58" s="5"/>
    </row>
    <row r="59" spans="1:13" x14ac:dyDescent="0.2">
      <c r="B59" s="13"/>
      <c r="C59" s="14"/>
      <c r="D59" s="16"/>
      <c r="H59" s="4"/>
      <c r="I59" s="5"/>
      <c r="J59" s="5"/>
    </row>
    <row r="60" spans="1:13" x14ac:dyDescent="0.2">
      <c r="B60" s="13"/>
      <c r="C60" s="14"/>
      <c r="D60" s="16"/>
      <c r="H60" s="4"/>
      <c r="I60" s="5"/>
      <c r="J60" s="3"/>
    </row>
    <row r="61" spans="1:13" x14ac:dyDescent="0.2">
      <c r="B61" s="13"/>
      <c r="C61" s="14"/>
      <c r="D61" s="16"/>
      <c r="H61" s="4"/>
      <c r="I61" s="5"/>
      <c r="J61" s="5"/>
    </row>
    <row r="62" spans="1:13" x14ac:dyDescent="0.2">
      <c r="B62" s="13"/>
      <c r="C62" s="14"/>
      <c r="D62" s="16"/>
      <c r="H62" s="4"/>
      <c r="I62" s="5"/>
      <c r="J62" s="5"/>
    </row>
    <row r="63" spans="1:13" x14ac:dyDescent="0.2">
      <c r="B63" s="13"/>
      <c r="C63" s="14"/>
      <c r="D63" s="16"/>
      <c r="H63" s="4"/>
      <c r="I63" s="5"/>
      <c r="J63" s="5"/>
    </row>
    <row r="64" spans="1:13" x14ac:dyDescent="0.2">
      <c r="B64" s="13"/>
      <c r="C64" s="14"/>
      <c r="D64" s="16"/>
      <c r="H64" s="4"/>
      <c r="I64" s="5"/>
      <c r="J64" s="5"/>
    </row>
    <row r="65" spans="2:10" x14ac:dyDescent="0.2">
      <c r="B65" s="13"/>
      <c r="C65" s="14"/>
      <c r="D65" s="16"/>
      <c r="H65" s="4"/>
      <c r="I65" s="5"/>
      <c r="J65" s="5"/>
    </row>
    <row r="66" spans="2:10" x14ac:dyDescent="0.2">
      <c r="B66" s="13"/>
      <c r="C66" s="14"/>
      <c r="D66" s="16"/>
      <c r="H66" s="4"/>
      <c r="I66" s="5"/>
      <c r="J66" s="5"/>
    </row>
    <row r="67" spans="2:10" x14ac:dyDescent="0.2">
      <c r="B67" s="13"/>
      <c r="C67" s="14"/>
      <c r="D67" s="16"/>
      <c r="H67" s="4"/>
      <c r="I67" s="3"/>
      <c r="J67" s="5"/>
    </row>
    <row r="68" spans="2:10" x14ac:dyDescent="0.2">
      <c r="B68" s="13"/>
      <c r="C68" s="14"/>
      <c r="D68" s="16"/>
      <c r="H68" s="4"/>
      <c r="I68" s="3"/>
      <c r="J68" s="3"/>
    </row>
    <row r="69" spans="2:10" x14ac:dyDescent="0.2">
      <c r="B69" s="13"/>
      <c r="C69" s="14"/>
      <c r="D69" s="16"/>
      <c r="H69" s="4"/>
      <c r="I69" s="3"/>
      <c r="J69" s="7"/>
    </row>
    <row r="70" spans="2:10" x14ac:dyDescent="0.2">
      <c r="B70" s="13"/>
      <c r="C70" s="14"/>
      <c r="D70" s="16"/>
      <c r="H70" s="4"/>
      <c r="I70" s="3"/>
      <c r="J70" s="3"/>
    </row>
    <row r="71" spans="2:10" x14ac:dyDescent="0.2">
      <c r="B71" s="13"/>
      <c r="C71" s="14"/>
      <c r="D71" s="16"/>
      <c r="H71" s="4"/>
      <c r="I71" s="5"/>
      <c r="J71" s="5"/>
    </row>
    <row r="72" spans="2:10" x14ac:dyDescent="0.2">
      <c r="B72" s="13"/>
      <c r="C72" s="14"/>
      <c r="D72" s="16"/>
      <c r="H72" s="4"/>
      <c r="I72" s="5"/>
      <c r="J72" s="5"/>
    </row>
    <row r="73" spans="2:10" x14ac:dyDescent="0.2">
      <c r="B73" s="13"/>
      <c r="C73" s="14"/>
      <c r="D73" s="16"/>
      <c r="H73" s="4"/>
      <c r="I73" s="6"/>
      <c r="J73" s="6"/>
    </row>
    <row r="74" spans="2:10" x14ac:dyDescent="0.2">
      <c r="B74" s="13"/>
      <c r="C74" s="14"/>
      <c r="D74" s="16"/>
      <c r="H74" s="4"/>
      <c r="I74" s="6"/>
      <c r="J74" s="6"/>
    </row>
    <row r="75" spans="2:10" x14ac:dyDescent="0.2">
      <c r="B75" s="13"/>
      <c r="C75" s="14"/>
      <c r="D75" s="16"/>
      <c r="H75" s="4"/>
      <c r="I75" s="5"/>
      <c r="J75" s="5"/>
    </row>
    <row r="76" spans="2:10" x14ac:dyDescent="0.2">
      <c r="B76" s="13"/>
      <c r="C76" s="14"/>
      <c r="D76" s="16"/>
      <c r="H76" s="4"/>
      <c r="I76" s="6"/>
      <c r="J76" s="6"/>
    </row>
    <row r="77" spans="2:10" x14ac:dyDescent="0.2">
      <c r="B77" s="13"/>
      <c r="C77" s="14"/>
      <c r="D77" s="16"/>
      <c r="H77" s="4"/>
      <c r="I77" s="7"/>
      <c r="J77" s="5"/>
    </row>
    <row r="78" spans="2:10" x14ac:dyDescent="0.2">
      <c r="B78" s="13"/>
      <c r="C78" s="14"/>
      <c r="D78" s="16"/>
      <c r="H78" s="4"/>
      <c r="I78" s="8"/>
      <c r="J78" s="8"/>
    </row>
    <row r="79" spans="2:10" x14ac:dyDescent="0.2">
      <c r="B79" s="13"/>
      <c r="C79" s="14"/>
      <c r="D79" s="16"/>
      <c r="H79" s="4"/>
      <c r="I79" s="7"/>
      <c r="J79" s="7"/>
    </row>
    <row r="80" spans="2:10" x14ac:dyDescent="0.2">
      <c r="B80" s="13"/>
      <c r="C80" s="14"/>
      <c r="D80" s="16"/>
      <c r="H80" s="4"/>
      <c r="I80" s="7"/>
      <c r="J80" s="7"/>
    </row>
    <row r="81" spans="2:11" x14ac:dyDescent="0.2">
      <c r="B81" s="13"/>
      <c r="C81" s="14"/>
      <c r="D81" s="16"/>
      <c r="H81" s="4"/>
      <c r="I81" s="5"/>
      <c r="J81" s="5"/>
      <c r="K81" s="28"/>
    </row>
    <row r="82" spans="2:11" x14ac:dyDescent="0.2">
      <c r="B82" s="13"/>
      <c r="C82" s="14"/>
      <c r="D82" s="16"/>
      <c r="H82" s="4"/>
      <c r="I82" s="7"/>
      <c r="J82" s="7"/>
      <c r="K82" s="28"/>
    </row>
    <row r="83" spans="2:11" x14ac:dyDescent="0.2">
      <c r="B83" s="13"/>
      <c r="C83" s="14"/>
      <c r="D83" s="16"/>
      <c r="H83" s="4"/>
      <c r="I83" s="7"/>
      <c r="J83" s="7"/>
    </row>
    <row r="84" spans="2:11" x14ac:dyDescent="0.2">
      <c r="B84" s="13"/>
      <c r="C84" s="14"/>
      <c r="D84" s="16"/>
      <c r="H84" s="4"/>
      <c r="I84" s="7"/>
      <c r="J84" s="7"/>
    </row>
    <row r="85" spans="2:11" x14ac:dyDescent="0.2">
      <c r="B85" s="13"/>
      <c r="C85" s="14"/>
      <c r="D85" s="16"/>
      <c r="H85" s="4"/>
      <c r="I85" s="6"/>
      <c r="J85" s="6"/>
      <c r="K85" s="28"/>
    </row>
    <row r="86" spans="2:11" x14ac:dyDescent="0.2">
      <c r="B86" s="13"/>
      <c r="C86" s="14"/>
      <c r="D86" s="16"/>
      <c r="H86" s="4"/>
      <c r="I86" s="6"/>
      <c r="J86" s="6"/>
    </row>
    <row r="87" spans="2:11" x14ac:dyDescent="0.2">
      <c r="B87" s="13"/>
      <c r="C87" s="14"/>
      <c r="D87" s="16"/>
      <c r="H87" s="4"/>
      <c r="I87" s="8"/>
      <c r="J87" s="8"/>
    </row>
    <row r="88" spans="2:11" x14ac:dyDescent="0.2">
      <c r="B88" s="13"/>
      <c r="C88" s="14"/>
      <c r="D88" s="16"/>
      <c r="H88" s="4"/>
      <c r="I88" s="8"/>
      <c r="J88" s="8"/>
    </row>
    <row r="89" spans="2:11" x14ac:dyDescent="0.2">
      <c r="B89" s="13"/>
      <c r="C89" s="14"/>
      <c r="D89" s="16"/>
      <c r="H89" s="4"/>
      <c r="I89" s="6"/>
      <c r="J89" s="6"/>
    </row>
    <row r="90" spans="2:11" x14ac:dyDescent="0.2">
      <c r="B90" s="13"/>
      <c r="C90" s="14"/>
      <c r="D90" s="16"/>
      <c r="H90" s="4"/>
      <c r="I90" s="5"/>
      <c r="J90" s="5"/>
    </row>
    <row r="91" spans="2:11" x14ac:dyDescent="0.2">
      <c r="B91" s="13"/>
      <c r="C91" s="14"/>
      <c r="D91" s="16"/>
      <c r="H91" s="4"/>
      <c r="I91" s="5"/>
      <c r="J91" s="5"/>
    </row>
    <row r="92" spans="2:11" x14ac:dyDescent="0.2">
      <c r="B92" s="13"/>
      <c r="C92" s="14"/>
      <c r="D92" s="16"/>
      <c r="H92" s="4"/>
      <c r="I92" s="5"/>
      <c r="J92" s="5"/>
      <c r="K92" s="28"/>
    </row>
    <row r="93" spans="2:11" x14ac:dyDescent="0.2">
      <c r="B93" s="13"/>
      <c r="C93" s="14"/>
      <c r="D93" s="16"/>
      <c r="H93" s="4"/>
      <c r="I93" s="6"/>
      <c r="J93" s="6"/>
    </row>
    <row r="94" spans="2:11" x14ac:dyDescent="0.2">
      <c r="B94" s="13"/>
      <c r="C94" s="14"/>
      <c r="D94" s="16"/>
      <c r="H94" s="4"/>
      <c r="I94" s="6"/>
      <c r="J94" s="6"/>
    </row>
    <row r="95" spans="2:11" x14ac:dyDescent="0.2">
      <c r="B95" s="13"/>
      <c r="C95" s="14"/>
      <c r="D95" s="16"/>
      <c r="H95" s="4"/>
      <c r="I95" s="5"/>
    </row>
    <row r="96" spans="2:11" x14ac:dyDescent="0.2">
      <c r="B96" s="13"/>
      <c r="C96" s="14"/>
      <c r="D96" s="16"/>
      <c r="H96" s="4"/>
      <c r="I96" s="9"/>
      <c r="J96" s="9"/>
    </row>
    <row r="97" spans="2:11" x14ac:dyDescent="0.2">
      <c r="B97" s="13"/>
      <c r="C97" s="14"/>
      <c r="D97" s="16"/>
      <c r="H97" s="4"/>
      <c r="I97" s="5"/>
    </row>
    <row r="98" spans="2:11" x14ac:dyDescent="0.2">
      <c r="B98" s="13"/>
      <c r="C98" s="14"/>
      <c r="D98" s="16"/>
      <c r="H98" s="4"/>
      <c r="I98" s="5"/>
    </row>
    <row r="99" spans="2:11" x14ac:dyDescent="0.2">
      <c r="B99" s="13"/>
      <c r="C99" s="14"/>
      <c r="D99" s="16"/>
      <c r="H99" s="4"/>
      <c r="I99" s="6"/>
      <c r="J99" s="6"/>
    </row>
    <row r="100" spans="2:11" x14ac:dyDescent="0.2">
      <c r="B100" s="13"/>
      <c r="C100" s="14"/>
      <c r="D100" s="16"/>
      <c r="H100" s="4"/>
      <c r="I100" s="5"/>
      <c r="J100" s="5"/>
    </row>
    <row r="101" spans="2:11" x14ac:dyDescent="0.2">
      <c r="B101" s="13"/>
      <c r="C101" s="14"/>
      <c r="D101" s="16"/>
      <c r="H101" s="4"/>
      <c r="I101" s="5"/>
      <c r="J101" s="5"/>
    </row>
    <row r="102" spans="2:11" x14ac:dyDescent="0.2">
      <c r="B102" s="13"/>
      <c r="C102" s="14"/>
      <c r="D102" s="16"/>
      <c r="H102" s="4"/>
      <c r="I102" s="5"/>
      <c r="J102" s="5"/>
    </row>
    <row r="103" spans="2:11" x14ac:dyDescent="0.2">
      <c r="B103" s="13"/>
      <c r="C103" s="14"/>
      <c r="D103" s="16"/>
      <c r="H103" s="4"/>
      <c r="I103" s="5"/>
      <c r="J103" s="5"/>
    </row>
    <row r="104" spans="2:11" x14ac:dyDescent="0.2">
      <c r="B104" s="13"/>
      <c r="C104" s="14"/>
      <c r="D104" s="16"/>
      <c r="H104" s="4"/>
      <c r="I104" s="5"/>
      <c r="J104" s="5"/>
    </row>
    <row r="105" spans="2:11" x14ac:dyDescent="0.2">
      <c r="B105" s="13"/>
      <c r="C105" s="14"/>
      <c r="D105" s="16"/>
      <c r="H105" s="4"/>
      <c r="I105" s="5"/>
      <c r="J105" s="5"/>
    </row>
    <row r="106" spans="2:11" x14ac:dyDescent="0.2">
      <c r="B106" s="13"/>
      <c r="C106" s="14"/>
      <c r="D106" s="16"/>
      <c r="H106" s="4"/>
      <c r="I106" s="5"/>
      <c r="J106" s="5"/>
      <c r="K106" s="29"/>
    </row>
    <row r="107" spans="2:11" x14ac:dyDescent="0.2">
      <c r="B107" s="13"/>
      <c r="C107" s="14"/>
      <c r="D107" s="16"/>
      <c r="H107" s="4"/>
      <c r="I107" s="10"/>
      <c r="J107" s="10"/>
      <c r="K107" s="29"/>
    </row>
    <row r="108" spans="2:11" x14ac:dyDescent="0.2">
      <c r="B108" s="13"/>
      <c r="C108" s="14"/>
      <c r="D108" s="16"/>
      <c r="H108" s="4"/>
      <c r="I108" s="10"/>
      <c r="J108" s="10"/>
    </row>
    <row r="109" spans="2:11" x14ac:dyDescent="0.2">
      <c r="B109" s="13"/>
      <c r="C109" s="14"/>
      <c r="D109" s="16"/>
      <c r="H109" s="4"/>
      <c r="I109" s="9"/>
      <c r="J109" s="9"/>
    </row>
    <row r="110" spans="2:11" x14ac:dyDescent="0.2">
      <c r="B110" s="13"/>
      <c r="C110" s="14"/>
      <c r="D110" s="16"/>
      <c r="H110" s="4"/>
      <c r="I110" s="5"/>
      <c r="J110" s="5"/>
    </row>
    <row r="111" spans="2:11" x14ac:dyDescent="0.2">
      <c r="B111" s="13"/>
      <c r="C111" s="14"/>
      <c r="D111" s="16"/>
      <c r="H111" s="4"/>
      <c r="I111" s="5"/>
      <c r="J111" s="5"/>
    </row>
    <row r="112" spans="2:11" x14ac:dyDescent="0.2">
      <c r="B112" s="13"/>
      <c r="C112" s="14"/>
      <c r="D112" s="16"/>
      <c r="H112" s="4"/>
      <c r="I112" s="5"/>
      <c r="J112" s="5"/>
    </row>
    <row r="113" spans="2:8" x14ac:dyDescent="0.2">
      <c r="B113" s="13"/>
      <c r="C113" s="14"/>
      <c r="D113" s="15"/>
      <c r="H113" s="4"/>
    </row>
  </sheetData>
  <autoFilter ref="A1:K111" xr:uid="{BBBC0B02-ECEE-4619-B189-865702C2E471}"/>
  <sortState xmlns:xlrd2="http://schemas.microsoft.com/office/spreadsheetml/2017/richdata2" ref="A22:K46">
    <sortCondition ref="C22:C46"/>
    <sortCondition ref="E22:E46"/>
  </sortState>
  <phoneticPr fontId="20" type="noConversion"/>
  <conditionalFormatting sqref="L10:M10 H2:H54">
    <cfRule type="cellIs" dxfId="11" priority="11" operator="equal">
      <formula>"Dynamic"</formula>
    </cfRule>
    <cfRule type="cellIs" dxfId="10" priority="12" operator="equal">
      <formula>"Static"</formula>
    </cfRule>
  </conditionalFormatting>
  <conditionalFormatting sqref="G9">
    <cfRule type="cellIs" dxfId="9" priority="7" operator="equal">
      <formula>"Dynamic"</formula>
    </cfRule>
    <cfRule type="cellIs" dxfId="8" priority="8" operator="equal">
      <formula>"Static"</formula>
    </cfRule>
  </conditionalFormatting>
  <conditionalFormatting sqref="G5">
    <cfRule type="cellIs" dxfId="7" priority="9" operator="equal">
      <formula>"No"</formula>
    </cfRule>
    <cfRule type="cellIs" dxfId="6" priority="10" operator="equal">
      <formula>"Yes"</formula>
    </cfRule>
  </conditionalFormatting>
  <conditionalFormatting sqref="G6:G8 G10:G13">
    <cfRule type="cellIs" dxfId="5" priority="5" operator="equal">
      <formula>"No"</formula>
    </cfRule>
    <cfRule type="cellIs" dxfId="4" priority="6" operator="equal">
      <formula>"Yes"</formula>
    </cfRule>
  </conditionalFormatting>
  <conditionalFormatting sqref="L9:M9 L26:L27 L28:M29 L30:L33 M34:M37 L38:L44 M44">
    <cfRule type="cellIs" dxfId="3" priority="1" operator="equal">
      <formula>"Dynamic"</formula>
    </cfRule>
    <cfRule type="cellIs" dxfId="2" priority="2" operator="equal">
      <formula>"Static"</formula>
    </cfRule>
  </conditionalFormatting>
  <conditionalFormatting sqref="M5">
    <cfRule type="cellIs" dxfId="1" priority="3" operator="equal">
      <formula>"No"</formula>
    </cfRule>
    <cfRule type="cellIs" dxfId="0" priority="4" operator="equal">
      <formula>"Yes"</formula>
    </cfRule>
  </conditionalFormatting>
  <hyperlinks>
    <hyperlink ref="I40" r:id="rId1" display="https://onepan.se/pages/hur-du-tar-hand-om-din-onepan?_gl=1*1a84e5*_up*MQ..*_gs*MQ..&amp;gclid=EAIaIQobChMI6OPf8vezjAMVqWaRBR2K3SryEAAYASAAEgKRpPD_BwE" xr:uid="{CEF05C61-6458-BD47-BA69-943E3CD71760}"/>
    <hyperlink ref="J40" r:id="rId2" xr:uid="{5B59C0B5-CB2C-8B4C-8CB9-03A395CABCEC}"/>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2617-946A-49E3-AD77-F1AA979B4F46}">
  <dimension ref="A1:C6"/>
  <sheetViews>
    <sheetView workbookViewId="0">
      <selection activeCell="B6" sqref="B6"/>
    </sheetView>
  </sheetViews>
  <sheetFormatPr baseColWidth="10" defaultColWidth="8.83203125" defaultRowHeight="15" x14ac:dyDescent="0.2"/>
  <cols>
    <col min="1" max="1" width="43.5" bestFit="1" customWidth="1"/>
    <col min="2" max="2" width="43.5" customWidth="1"/>
    <col min="3" max="3" width="27.83203125" bestFit="1" customWidth="1"/>
  </cols>
  <sheetData>
    <row r="1" spans="1:3" x14ac:dyDescent="0.2">
      <c r="A1" t="s">
        <v>0</v>
      </c>
      <c r="B1" t="s">
        <v>23</v>
      </c>
      <c r="C1" t="s">
        <v>16</v>
      </c>
    </row>
    <row r="2" spans="1:3" x14ac:dyDescent="0.2">
      <c r="A2" t="s">
        <v>33</v>
      </c>
      <c r="B2" t="s">
        <v>24</v>
      </c>
      <c r="C2" t="s">
        <v>17</v>
      </c>
    </row>
    <row r="3" spans="1:3" x14ac:dyDescent="0.2">
      <c r="A3" t="s">
        <v>34</v>
      </c>
      <c r="B3" t="s">
        <v>26</v>
      </c>
      <c r="C3" t="s">
        <v>19</v>
      </c>
    </row>
    <row r="4" spans="1:3" x14ac:dyDescent="0.2">
      <c r="A4" t="s">
        <v>35</v>
      </c>
      <c r="B4" t="s">
        <v>25</v>
      </c>
      <c r="C4" t="s">
        <v>60</v>
      </c>
    </row>
    <row r="5" spans="1:3" x14ac:dyDescent="0.2">
      <c r="A5" t="s">
        <v>66</v>
      </c>
      <c r="B5" t="s">
        <v>187</v>
      </c>
      <c r="C5" t="s">
        <v>18</v>
      </c>
    </row>
    <row r="6" spans="1:3" x14ac:dyDescent="0.2">
      <c r="A6" t="s">
        <v>59</v>
      </c>
      <c r="B6" t="s">
        <v>31</v>
      </c>
      <c r="C6"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BDAC9-7984-4C82-9CDA-35313FC8C3BB}">
  <dimension ref="A1:B14"/>
  <sheetViews>
    <sheetView workbookViewId="0">
      <selection activeCell="D2" sqref="D2:D14"/>
    </sheetView>
  </sheetViews>
  <sheetFormatPr baseColWidth="10" defaultColWidth="8.83203125" defaultRowHeight="15" x14ac:dyDescent="0.2"/>
  <cols>
    <col min="1" max="1" width="31.5" bestFit="1" customWidth="1"/>
    <col min="2" max="2" width="9.83203125" bestFit="1" customWidth="1"/>
  </cols>
  <sheetData>
    <row r="1" spans="1:2" x14ac:dyDescent="0.2">
      <c r="A1" t="s">
        <v>11</v>
      </c>
      <c r="B1" t="s">
        <v>20</v>
      </c>
    </row>
    <row r="2" spans="1:2" x14ac:dyDescent="0.2">
      <c r="A2" t="s">
        <v>189</v>
      </c>
      <c r="B2" t="s">
        <v>21</v>
      </c>
    </row>
    <row r="3" spans="1:2" x14ac:dyDescent="0.2">
      <c r="A3" t="s">
        <v>59</v>
      </c>
      <c r="B3" t="s">
        <v>22</v>
      </c>
    </row>
    <row r="4" spans="1:2" x14ac:dyDescent="0.2">
      <c r="A4" t="s">
        <v>67</v>
      </c>
      <c r="B4" t="s">
        <v>21</v>
      </c>
    </row>
    <row r="5" spans="1:2" x14ac:dyDescent="0.2">
      <c r="A5" t="s">
        <v>68</v>
      </c>
      <c r="B5" t="s">
        <v>21</v>
      </c>
    </row>
    <row r="6" spans="1:2" x14ac:dyDescent="0.2">
      <c r="A6" t="s">
        <v>190</v>
      </c>
      <c r="B6" t="s">
        <v>21</v>
      </c>
    </row>
    <row r="7" spans="1:2" x14ac:dyDescent="0.2">
      <c r="A7" t="s">
        <v>191</v>
      </c>
      <c r="B7" t="s">
        <v>21</v>
      </c>
    </row>
    <row r="8" spans="1:2" x14ac:dyDescent="0.2">
      <c r="A8" t="s">
        <v>69</v>
      </c>
      <c r="B8" t="s">
        <v>21</v>
      </c>
    </row>
    <row r="9" spans="1:2" x14ac:dyDescent="0.2">
      <c r="A9" t="s">
        <v>70</v>
      </c>
      <c r="B9" t="s">
        <v>21</v>
      </c>
    </row>
    <row r="10" spans="1:2" x14ac:dyDescent="0.2">
      <c r="A10" t="s">
        <v>71</v>
      </c>
      <c r="B10" t="s">
        <v>21</v>
      </c>
    </row>
    <row r="11" spans="1:2" x14ac:dyDescent="0.2">
      <c r="A11" t="s">
        <v>72</v>
      </c>
      <c r="B11" t="s">
        <v>21</v>
      </c>
    </row>
    <row r="12" spans="1:2" x14ac:dyDescent="0.2">
      <c r="A12" t="s">
        <v>73</v>
      </c>
      <c r="B12" t="s">
        <v>21</v>
      </c>
    </row>
    <row r="13" spans="1:2" x14ac:dyDescent="0.2">
      <c r="A13" t="s">
        <v>74</v>
      </c>
      <c r="B13" t="s">
        <v>21</v>
      </c>
    </row>
    <row r="14" spans="1:2" x14ac:dyDescent="0.2">
      <c r="A14" t="s">
        <v>188</v>
      </c>
      <c r="B1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parameter_metadata</vt:lpstr>
      <vt:lpstr>parameter_metadata_original</vt:lpstr>
      <vt:lpstr>category_metadata</vt:lpstr>
      <vt:lpstr>sub_category_metadata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Berenice Gudino</dc:creator>
  <cp:lastModifiedBy>Berenice Gudino</cp:lastModifiedBy>
  <dcterms:created xsi:type="dcterms:W3CDTF">2024-12-11T13:33:46Z</dcterms:created>
  <dcterms:modified xsi:type="dcterms:W3CDTF">2025-05-20T12:52:48Z</dcterms:modified>
</cp:coreProperties>
</file>